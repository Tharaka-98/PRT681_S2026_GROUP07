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D:\Rushabh_software_engineering_practice\Rushabh_Week_6\"/>
    </mc:Choice>
  </mc:AlternateContent>
  <xr:revisionPtr revIDLastSave="0" documentId="13_ncr:1_{AAC49D5A-96EB-46B4-A772-A952868FD85E}" xr6:coauthVersionLast="47" xr6:coauthVersionMax="47" xr10:uidLastSave="{00000000-0000-0000-0000-000000000000}"/>
  <bookViews>
    <workbookView xWindow="15" yWindow="-16320" windowWidth="29040" windowHeight="15720" xr2:uid="{00000000-000D-0000-FFFF-FFFF00000000}"/>
  </bookViews>
  <sheets>
    <sheet name="Raw_Data" sheetId="1" r:id="rId1"/>
    <sheet name="Formula_Practice" sheetId="2" r:id="rId2"/>
    <sheet name="Pivot_Analysis" sheetId="3" r:id="rId3"/>
    <sheet name="Dashboard" sheetId="4" r:id="rId4"/>
  </sheets>
  <definedNames>
    <definedName name="Slicer_Category">#N/A</definedName>
    <definedName name="Slicer_Region">#N/A</definedName>
    <definedName name="Slicer_Segment">#N/A</definedName>
  </definedNames>
  <calcPr calcId="181029"/>
  <pivotCaches>
    <pivotCache cacheId="1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5" i="4" l="1"/>
  <c r="G5" i="4"/>
  <c r="D5" i="4"/>
  <c r="A5" i="4"/>
  <c r="C11" i="2"/>
  <c r="C10" i="2"/>
  <c r="C9" i="2"/>
  <c r="C8" i="2"/>
  <c r="C7" i="2"/>
  <c r="C6" i="2"/>
  <c r="C5" i="2"/>
  <c r="C4" i="2"/>
  <c r="C3" i="2"/>
</calcChain>
</file>

<file path=xl/sharedStrings.xml><?xml version="1.0" encoding="utf-8"?>
<sst xmlns="http://schemas.openxmlformats.org/spreadsheetml/2006/main" count="4909" uniqueCount="714">
  <si>
    <t>Order ID</t>
  </si>
  <si>
    <t>Order Date</t>
  </si>
  <si>
    <t>Ship Date</t>
  </si>
  <si>
    <t>Customer Name</t>
  </si>
  <si>
    <t>Segment</t>
  </si>
  <si>
    <t>Region</t>
  </si>
  <si>
    <t>State</t>
  </si>
  <si>
    <t>Category</t>
  </si>
  <si>
    <t>Sub-Category</t>
  </si>
  <si>
    <t>Product Name</t>
  </si>
  <si>
    <t>Quantity</t>
  </si>
  <si>
    <t>Unit Price</t>
  </si>
  <si>
    <t>Discount</t>
  </si>
  <si>
    <t>Sales</t>
  </si>
  <si>
    <t>Profit</t>
  </si>
  <si>
    <t>Ship Mode</t>
  </si>
  <si>
    <t>Regional Manager</t>
  </si>
  <si>
    <t>ORD-10001</t>
  </si>
  <si>
    <t>Customer 001</t>
  </si>
  <si>
    <t>Consumer</t>
  </si>
  <si>
    <t>Central</t>
  </si>
  <si>
    <t>South Australia</t>
  </si>
  <si>
    <t>Furniture</t>
  </si>
  <si>
    <t>Bookcases</t>
  </si>
  <si>
    <t>Product Bookcases 1</t>
  </si>
  <si>
    <t>Standard Class</t>
  </si>
  <si>
    <t>Ava Williams</t>
  </si>
  <si>
    <t>ORD-10002</t>
  </si>
  <si>
    <t>Customer 024</t>
  </si>
  <si>
    <t>Corporate</t>
  </si>
  <si>
    <t>North</t>
  </si>
  <si>
    <t>Northern Territory</t>
  </si>
  <si>
    <t>Office Supplies</t>
  </si>
  <si>
    <t>Storage</t>
  </si>
  <si>
    <t>Product Storage 2</t>
  </si>
  <si>
    <t>Second Class</t>
  </si>
  <si>
    <t>Noah Brown</t>
  </si>
  <si>
    <t>ORD-10003</t>
  </si>
  <si>
    <t>Customer 047</t>
  </si>
  <si>
    <t>Home Office</t>
  </si>
  <si>
    <t>South</t>
  </si>
  <si>
    <t>Tasmania</t>
  </si>
  <si>
    <t>Technology</t>
  </si>
  <si>
    <t>Phones</t>
  </si>
  <si>
    <t>Product Phones 3</t>
  </si>
  <si>
    <t>First Class</t>
  </si>
  <si>
    <t>Mia Taylor</t>
  </si>
  <si>
    <t>ORD-10004</t>
  </si>
  <si>
    <t>Customer 070</t>
  </si>
  <si>
    <t>West</t>
  </si>
  <si>
    <t>Western Australia</t>
  </si>
  <si>
    <t>Product Bookcases 4</t>
  </si>
  <si>
    <t>Same Day</t>
  </si>
  <si>
    <t>Liam Wilson</t>
  </si>
  <si>
    <t>ORD-10005</t>
  </si>
  <si>
    <t>Customer 093</t>
  </si>
  <si>
    <t>Victoria</t>
  </si>
  <si>
    <t>Product Storage 5</t>
  </si>
  <si>
    <t>ORD-10006</t>
  </si>
  <si>
    <t>Customer 020</t>
  </si>
  <si>
    <t>Queensland</t>
  </si>
  <si>
    <t>Product Phones 6</t>
  </si>
  <si>
    <t>ORD-10007</t>
  </si>
  <si>
    <t>Customer 043</t>
  </si>
  <si>
    <t>New South Wales</t>
  </si>
  <si>
    <t>Product Bookcases 7</t>
  </si>
  <si>
    <t>ORD-10008</t>
  </si>
  <si>
    <t>Customer 066</t>
  </si>
  <si>
    <t>Australian Capital Territory</t>
  </si>
  <si>
    <t>Product Storage 8</t>
  </si>
  <si>
    <t>ORD-10009</t>
  </si>
  <si>
    <t>Customer 089</t>
  </si>
  <si>
    <t>Product Phones 9</t>
  </si>
  <si>
    <t>ORD-10010</t>
  </si>
  <si>
    <t>Customer 016</t>
  </si>
  <si>
    <t>Chairs</t>
  </si>
  <si>
    <t>Product Chairs 10</t>
  </si>
  <si>
    <t>ORD-10011</t>
  </si>
  <si>
    <t>Customer 039</t>
  </si>
  <si>
    <t>Binders</t>
  </si>
  <si>
    <t>Product Binders 11</t>
  </si>
  <si>
    <t>ORD-10012</t>
  </si>
  <si>
    <t>Customer 062</t>
  </si>
  <si>
    <t>Copiers</t>
  </si>
  <si>
    <t>Product Copiers 12</t>
  </si>
  <si>
    <t>ORD-10013</t>
  </si>
  <si>
    <t>Customer 085</t>
  </si>
  <si>
    <t>Product Chairs 1</t>
  </si>
  <si>
    <t>ORD-10014</t>
  </si>
  <si>
    <t>Customer 012</t>
  </si>
  <si>
    <t>Product Binders 2</t>
  </si>
  <si>
    <t>ORD-10015</t>
  </si>
  <si>
    <t>Customer 035</t>
  </si>
  <si>
    <t>Product Copiers 3</t>
  </si>
  <si>
    <t>ORD-10016</t>
  </si>
  <si>
    <t>Customer 058</t>
  </si>
  <si>
    <t>Product Chairs 4</t>
  </si>
  <si>
    <t>ORD-10017</t>
  </si>
  <si>
    <t>Customer 081</t>
  </si>
  <si>
    <t>Product Binders 5</t>
  </si>
  <si>
    <t>ORD-10018</t>
  </si>
  <si>
    <t>Customer 008</t>
  </si>
  <si>
    <t>Product Copiers 6</t>
  </si>
  <si>
    <t>ORD-10019</t>
  </si>
  <si>
    <t>Customer 031</t>
  </si>
  <si>
    <t>Tables</t>
  </si>
  <si>
    <t>Product Tables 7</t>
  </si>
  <si>
    <t>ORD-10020</t>
  </si>
  <si>
    <t>Customer 054</t>
  </si>
  <si>
    <t>Paper</t>
  </si>
  <si>
    <t>Product Paper 8</t>
  </si>
  <si>
    <t>ORD-10021</t>
  </si>
  <si>
    <t>Customer 077</t>
  </si>
  <si>
    <t>Accessories</t>
  </si>
  <si>
    <t>Product Accessories 9</t>
  </si>
  <si>
    <t>ORD-10022</t>
  </si>
  <si>
    <t>Customer 004</t>
  </si>
  <si>
    <t>Product Tables 10</t>
  </si>
  <si>
    <t>ORD-10023</t>
  </si>
  <si>
    <t>Customer 027</t>
  </si>
  <si>
    <t>Product Paper 11</t>
  </si>
  <si>
    <t>ORD-10024</t>
  </si>
  <si>
    <t>Customer 050</t>
  </si>
  <si>
    <t>Product Accessories 12</t>
  </si>
  <si>
    <t>ORD-10025</t>
  </si>
  <si>
    <t>Customer 073</t>
  </si>
  <si>
    <t>Product Tables 1</t>
  </si>
  <si>
    <t>ORD-10026</t>
  </si>
  <si>
    <t>Customer 096</t>
  </si>
  <si>
    <t>Product Paper 2</t>
  </si>
  <si>
    <t>ORD-10027</t>
  </si>
  <si>
    <t>Customer 023</t>
  </si>
  <si>
    <t>Product Accessories 3</t>
  </si>
  <si>
    <t>ORD-10028</t>
  </si>
  <si>
    <t>Customer 046</t>
  </si>
  <si>
    <t>ORD-10029</t>
  </si>
  <si>
    <t>Customer 069</t>
  </si>
  <si>
    <t>ORD-10030</t>
  </si>
  <si>
    <t>Customer 092</t>
  </si>
  <si>
    <t>ORD-10031</t>
  </si>
  <si>
    <t>Customer 019</t>
  </si>
  <si>
    <t>ORD-10032</t>
  </si>
  <si>
    <t>Customer 042</t>
  </si>
  <si>
    <t>ORD-10033</t>
  </si>
  <si>
    <t>Customer 065</t>
  </si>
  <si>
    <t>ORD-10034</t>
  </si>
  <si>
    <t>Customer 088</t>
  </si>
  <si>
    <t>Product Bookcases 10</t>
  </si>
  <si>
    <t>ORD-10035</t>
  </si>
  <si>
    <t>Customer 015</t>
  </si>
  <si>
    <t>Product Storage 11</t>
  </si>
  <si>
    <t>ORD-10036</t>
  </si>
  <si>
    <t>Customer 038</t>
  </si>
  <si>
    <t>Product Phones 12</t>
  </si>
  <si>
    <t>ORD-10037</t>
  </si>
  <si>
    <t>Customer 061</t>
  </si>
  <si>
    <t>ORD-10038</t>
  </si>
  <si>
    <t>Customer 084</t>
  </si>
  <si>
    <t>ORD-10039</t>
  </si>
  <si>
    <t>Customer 011</t>
  </si>
  <si>
    <t>ORD-10040</t>
  </si>
  <si>
    <t>Customer 034</t>
  </si>
  <si>
    <t>ORD-10041</t>
  </si>
  <si>
    <t>Customer 057</t>
  </si>
  <si>
    <t>ORD-10042</t>
  </si>
  <si>
    <t>Customer 080</t>
  </si>
  <si>
    <t>ORD-10043</t>
  </si>
  <si>
    <t>Customer 007</t>
  </si>
  <si>
    <t>Product Chairs 7</t>
  </si>
  <si>
    <t>ORD-10044</t>
  </si>
  <si>
    <t>Customer 030</t>
  </si>
  <si>
    <t>Product Binders 8</t>
  </si>
  <si>
    <t>ORD-10045</t>
  </si>
  <si>
    <t>Customer 053</t>
  </si>
  <si>
    <t>Product Copiers 9</t>
  </si>
  <si>
    <t>ORD-10046</t>
  </si>
  <si>
    <t>Customer 076</t>
  </si>
  <si>
    <t>ORD-10047</t>
  </si>
  <si>
    <t>Customer 003</t>
  </si>
  <si>
    <t>ORD-10048</t>
  </si>
  <si>
    <t>Customer 026</t>
  </si>
  <si>
    <t>ORD-10049</t>
  </si>
  <si>
    <t>Customer 049</t>
  </si>
  <si>
    <t>ORD-10050</t>
  </si>
  <si>
    <t>Customer 072</t>
  </si>
  <si>
    <t>ORD-10051</t>
  </si>
  <si>
    <t>Customer 095</t>
  </si>
  <si>
    <t>ORD-10052</t>
  </si>
  <si>
    <t>Customer 022</t>
  </si>
  <si>
    <t>Product Tables 4</t>
  </si>
  <si>
    <t>ORD-10053</t>
  </si>
  <si>
    <t>Customer 045</t>
  </si>
  <si>
    <t>Product Paper 5</t>
  </si>
  <si>
    <t>ORD-10054</t>
  </si>
  <si>
    <t>Customer 068</t>
  </si>
  <si>
    <t>Product Accessories 6</t>
  </si>
  <si>
    <t>ORD-10055</t>
  </si>
  <si>
    <t>Customer 091</t>
  </si>
  <si>
    <t>ORD-10056</t>
  </si>
  <si>
    <t>Customer 018</t>
  </si>
  <si>
    <t>ORD-10057</t>
  </si>
  <si>
    <t>Customer 041</t>
  </si>
  <si>
    <t>ORD-10058</t>
  </si>
  <si>
    <t>Customer 064</t>
  </si>
  <si>
    <t>ORD-10059</t>
  </si>
  <si>
    <t>Customer 087</t>
  </si>
  <si>
    <t>ORD-10060</t>
  </si>
  <si>
    <t>Customer 014</t>
  </si>
  <si>
    <t>ORD-10061</t>
  </si>
  <si>
    <t>Customer 037</t>
  </si>
  <si>
    <t>ORD-10062</t>
  </si>
  <si>
    <t>Customer 060</t>
  </si>
  <si>
    <t>ORD-10063</t>
  </si>
  <si>
    <t>Customer 083</t>
  </si>
  <si>
    <t>ORD-10064</t>
  </si>
  <si>
    <t>Customer 010</t>
  </si>
  <si>
    <t>ORD-10065</t>
  </si>
  <si>
    <t>Customer 033</t>
  </si>
  <si>
    <t>ORD-10066</t>
  </si>
  <si>
    <t>Customer 056</t>
  </si>
  <si>
    <t>ORD-10067</t>
  </si>
  <si>
    <t>Customer 079</t>
  </si>
  <si>
    <t>ORD-10068</t>
  </si>
  <si>
    <t>Customer 006</t>
  </si>
  <si>
    <t>ORD-10069</t>
  </si>
  <si>
    <t>Customer 029</t>
  </si>
  <si>
    <t>ORD-10070</t>
  </si>
  <si>
    <t>Customer 052</t>
  </si>
  <si>
    <t>ORD-10071</t>
  </si>
  <si>
    <t>Customer 075</t>
  </si>
  <si>
    <t>ORD-10072</t>
  </si>
  <si>
    <t>Customer 002</t>
  </si>
  <si>
    <t>ORD-10073</t>
  </si>
  <si>
    <t>Customer 025</t>
  </si>
  <si>
    <t>ORD-10074</t>
  </si>
  <si>
    <t>Customer 048</t>
  </si>
  <si>
    <t>ORD-10075</t>
  </si>
  <si>
    <t>Customer 071</t>
  </si>
  <si>
    <t>ORD-10076</t>
  </si>
  <si>
    <t>Customer 094</t>
  </si>
  <si>
    <t>ORD-10077</t>
  </si>
  <si>
    <t>Customer 021</t>
  </si>
  <si>
    <t>ORD-10078</t>
  </si>
  <si>
    <t>Customer 044</t>
  </si>
  <si>
    <t>ORD-10079</t>
  </si>
  <si>
    <t>Customer 067</t>
  </si>
  <si>
    <t>ORD-10080</t>
  </si>
  <si>
    <t>Customer 090</t>
  </si>
  <si>
    <t>ORD-10081</t>
  </si>
  <si>
    <t>Customer 017</t>
  </si>
  <si>
    <t>ORD-10082</t>
  </si>
  <si>
    <t>Customer 040</t>
  </si>
  <si>
    <t>ORD-10083</t>
  </si>
  <si>
    <t>Customer 063</t>
  </si>
  <si>
    <t>ORD-10084</t>
  </si>
  <si>
    <t>Customer 086</t>
  </si>
  <si>
    <t>ORD-10085</t>
  </si>
  <si>
    <t>Customer 013</t>
  </si>
  <si>
    <t>ORD-10086</t>
  </si>
  <si>
    <t>Customer 036</t>
  </si>
  <si>
    <t>ORD-10087</t>
  </si>
  <si>
    <t>Customer 059</t>
  </si>
  <si>
    <t>ORD-10088</t>
  </si>
  <si>
    <t>Customer 082</t>
  </si>
  <si>
    <t>ORD-10089</t>
  </si>
  <si>
    <t>Customer 009</t>
  </si>
  <si>
    <t>ORD-10090</t>
  </si>
  <si>
    <t>Customer 032</t>
  </si>
  <si>
    <t>ORD-10091</t>
  </si>
  <si>
    <t>Customer 055</t>
  </si>
  <si>
    <t>ORD-10092</t>
  </si>
  <si>
    <t>Customer 078</t>
  </si>
  <si>
    <t>ORD-10093</t>
  </si>
  <si>
    <t>Customer 005</t>
  </si>
  <si>
    <t>ORD-10094</t>
  </si>
  <si>
    <t>Customer 028</t>
  </si>
  <si>
    <t>ORD-10095</t>
  </si>
  <si>
    <t>Customer 051</t>
  </si>
  <si>
    <t>ORD-10096</t>
  </si>
  <si>
    <t>Customer 074</t>
  </si>
  <si>
    <t>ORD-10097</t>
  </si>
  <si>
    <t>ORD-10098</t>
  </si>
  <si>
    <t>ORD-10099</t>
  </si>
  <si>
    <t>ORD-10100</t>
  </si>
  <si>
    <t>ORD-10101</t>
  </si>
  <si>
    <t>ORD-10102</t>
  </si>
  <si>
    <t>ORD-10103</t>
  </si>
  <si>
    <t>ORD-10104</t>
  </si>
  <si>
    <t>ORD-10105</t>
  </si>
  <si>
    <t>ORD-10106</t>
  </si>
  <si>
    <t>ORD-10107</t>
  </si>
  <si>
    <t>ORD-10108</t>
  </si>
  <si>
    <t>ORD-10109</t>
  </si>
  <si>
    <t>ORD-10110</t>
  </si>
  <si>
    <t>ORD-10111</t>
  </si>
  <si>
    <t>ORD-10112</t>
  </si>
  <si>
    <t>ORD-10113</t>
  </si>
  <si>
    <t>ORD-10114</t>
  </si>
  <si>
    <t>ORD-10115</t>
  </si>
  <si>
    <t>ORD-10116</t>
  </si>
  <si>
    <t>ORD-10117</t>
  </si>
  <si>
    <t>ORD-10118</t>
  </si>
  <si>
    <t>ORD-10119</t>
  </si>
  <si>
    <t>ORD-10120</t>
  </si>
  <si>
    <t>ORD-10121</t>
  </si>
  <si>
    <t>ORD-10122</t>
  </si>
  <si>
    <t>ORD-10123</t>
  </si>
  <si>
    <t>ORD-10124</t>
  </si>
  <si>
    <t>ORD-10125</t>
  </si>
  <si>
    <t>ORD-10126</t>
  </si>
  <si>
    <t>ORD-10127</t>
  </si>
  <si>
    <t>ORD-10128</t>
  </si>
  <si>
    <t>ORD-10129</t>
  </si>
  <si>
    <t>ORD-10130</t>
  </si>
  <si>
    <t>ORD-10131</t>
  </si>
  <si>
    <t>ORD-10132</t>
  </si>
  <si>
    <t>ORD-10133</t>
  </si>
  <si>
    <t>ORD-10134</t>
  </si>
  <si>
    <t>ORD-10135</t>
  </si>
  <si>
    <t>ORD-10136</t>
  </si>
  <si>
    <t>ORD-10137</t>
  </si>
  <si>
    <t>ORD-10138</t>
  </si>
  <si>
    <t>ORD-10139</t>
  </si>
  <si>
    <t>ORD-10140</t>
  </si>
  <si>
    <t>ORD-10141</t>
  </si>
  <si>
    <t>ORD-10142</t>
  </si>
  <si>
    <t>ORD-10143</t>
  </si>
  <si>
    <t>ORD-10144</t>
  </si>
  <si>
    <t>ORD-10145</t>
  </si>
  <si>
    <t>ORD-10146</t>
  </si>
  <si>
    <t>ORD-10147</t>
  </si>
  <si>
    <t>ORD-10148</t>
  </si>
  <si>
    <t>ORD-10149</t>
  </si>
  <si>
    <t>ORD-10150</t>
  </si>
  <si>
    <t>ORD-10151</t>
  </si>
  <si>
    <t>ORD-10152</t>
  </si>
  <si>
    <t>ORD-10153</t>
  </si>
  <si>
    <t>ORD-10154</t>
  </si>
  <si>
    <t>ORD-10155</t>
  </si>
  <si>
    <t>ORD-10156</t>
  </si>
  <si>
    <t>ORD-10157</t>
  </si>
  <si>
    <t>ORD-10158</t>
  </si>
  <si>
    <t>ORD-10159</t>
  </si>
  <si>
    <t>ORD-10160</t>
  </si>
  <si>
    <t>ORD-10161</t>
  </si>
  <si>
    <t>ORD-10162</t>
  </si>
  <si>
    <t>ORD-10163</t>
  </si>
  <si>
    <t>ORD-10164</t>
  </si>
  <si>
    <t>ORD-10165</t>
  </si>
  <si>
    <t>ORD-10166</t>
  </si>
  <si>
    <t>ORD-10167</t>
  </si>
  <si>
    <t>ORD-10168</t>
  </si>
  <si>
    <t>ORD-10169</t>
  </si>
  <si>
    <t>ORD-10170</t>
  </si>
  <si>
    <t>ORD-10171</t>
  </si>
  <si>
    <t>ORD-10172</t>
  </si>
  <si>
    <t>ORD-10173</t>
  </si>
  <si>
    <t>ORD-10174</t>
  </si>
  <si>
    <t>ORD-10175</t>
  </si>
  <si>
    <t>ORD-10176</t>
  </si>
  <si>
    <t>ORD-10177</t>
  </si>
  <si>
    <t>ORD-10178</t>
  </si>
  <si>
    <t>ORD-10179</t>
  </si>
  <si>
    <t>ORD-10180</t>
  </si>
  <si>
    <t>ORD-10181</t>
  </si>
  <si>
    <t>ORD-10182</t>
  </si>
  <si>
    <t>ORD-10183</t>
  </si>
  <si>
    <t>ORD-10184</t>
  </si>
  <si>
    <t>ORD-10185</t>
  </si>
  <si>
    <t>ORD-10186</t>
  </si>
  <si>
    <t>ORD-10187</t>
  </si>
  <si>
    <t>ORD-10188</t>
  </si>
  <si>
    <t>ORD-10189</t>
  </si>
  <si>
    <t>ORD-10190</t>
  </si>
  <si>
    <t>ORD-10191</t>
  </si>
  <si>
    <t>ORD-10192</t>
  </si>
  <si>
    <t>ORD-10193</t>
  </si>
  <si>
    <t>ORD-10194</t>
  </si>
  <si>
    <t>ORD-10195</t>
  </si>
  <si>
    <t>ORD-10196</t>
  </si>
  <si>
    <t>ORD-10197</t>
  </si>
  <si>
    <t>ORD-10198</t>
  </si>
  <si>
    <t>ORD-10199</t>
  </si>
  <si>
    <t>ORD-10200</t>
  </si>
  <si>
    <t>ORD-10201</t>
  </si>
  <si>
    <t>ORD-10202</t>
  </si>
  <si>
    <t>ORD-10203</t>
  </si>
  <si>
    <t>ORD-10204</t>
  </si>
  <si>
    <t>ORD-10205</t>
  </si>
  <si>
    <t>ORD-10206</t>
  </si>
  <si>
    <t>ORD-10207</t>
  </si>
  <si>
    <t>ORD-10208</t>
  </si>
  <si>
    <t>ORD-10209</t>
  </si>
  <si>
    <t>ORD-10210</t>
  </si>
  <si>
    <t>ORD-10211</t>
  </si>
  <si>
    <t>ORD-10212</t>
  </si>
  <si>
    <t>ORD-10213</t>
  </si>
  <si>
    <t>ORD-10214</t>
  </si>
  <si>
    <t>ORD-10215</t>
  </si>
  <si>
    <t>ORD-10216</t>
  </si>
  <si>
    <t>ORD-10217</t>
  </si>
  <si>
    <t>ORD-10218</t>
  </si>
  <si>
    <t>ORD-10219</t>
  </si>
  <si>
    <t>ORD-10220</t>
  </si>
  <si>
    <t>ORD-10221</t>
  </si>
  <si>
    <t>ORD-10222</t>
  </si>
  <si>
    <t>ORD-10223</t>
  </si>
  <si>
    <t>ORD-10224</t>
  </si>
  <si>
    <t>ORD-10225</t>
  </si>
  <si>
    <t>ORD-10226</t>
  </si>
  <si>
    <t>ORD-10227</t>
  </si>
  <si>
    <t>ORD-10228</t>
  </si>
  <si>
    <t>ORD-10229</t>
  </si>
  <si>
    <t>ORD-10230</t>
  </si>
  <si>
    <t>ORD-10231</t>
  </si>
  <si>
    <t>ORD-10232</t>
  </si>
  <si>
    <t>ORD-10233</t>
  </si>
  <si>
    <t>ORD-10234</t>
  </si>
  <si>
    <t>ORD-10235</t>
  </si>
  <si>
    <t>ORD-10236</t>
  </si>
  <si>
    <t>ORD-10237</t>
  </si>
  <si>
    <t>ORD-10238</t>
  </si>
  <si>
    <t>ORD-10239</t>
  </si>
  <si>
    <t>ORD-10240</t>
  </si>
  <si>
    <t>ORD-10241</t>
  </si>
  <si>
    <t>ORD-10242</t>
  </si>
  <si>
    <t>ORD-10243</t>
  </si>
  <si>
    <t>ORD-10244</t>
  </si>
  <si>
    <t>ORD-10245</t>
  </si>
  <si>
    <t>ORD-10246</t>
  </si>
  <si>
    <t>ORD-10247</t>
  </si>
  <si>
    <t>ORD-10248</t>
  </si>
  <si>
    <t>ORD-10249</t>
  </si>
  <si>
    <t>ORD-10250</t>
  </si>
  <si>
    <t>ORD-10251</t>
  </si>
  <si>
    <t>ORD-10252</t>
  </si>
  <si>
    <t>ORD-10253</t>
  </si>
  <si>
    <t>ORD-10254</t>
  </si>
  <si>
    <t>ORD-10255</t>
  </si>
  <si>
    <t>ORD-10256</t>
  </si>
  <si>
    <t>ORD-10257</t>
  </si>
  <si>
    <t>ORD-10258</t>
  </si>
  <si>
    <t>ORD-10259</t>
  </si>
  <si>
    <t>ORD-10260</t>
  </si>
  <si>
    <t>ORD-10261</t>
  </si>
  <si>
    <t>ORD-10262</t>
  </si>
  <si>
    <t>ORD-10263</t>
  </si>
  <si>
    <t>ORD-10264</t>
  </si>
  <si>
    <t>ORD-10265</t>
  </si>
  <si>
    <t>ORD-10266</t>
  </si>
  <si>
    <t>ORD-10267</t>
  </si>
  <si>
    <t>ORD-10268</t>
  </si>
  <si>
    <t>ORD-10269</t>
  </si>
  <si>
    <t>ORD-10270</t>
  </si>
  <si>
    <t>ORD-10271</t>
  </si>
  <si>
    <t>ORD-10272</t>
  </si>
  <si>
    <t>ORD-10273</t>
  </si>
  <si>
    <t>ORD-10274</t>
  </si>
  <si>
    <t>ORD-10275</t>
  </si>
  <si>
    <t>ORD-10276</t>
  </si>
  <si>
    <t>ORD-10277</t>
  </si>
  <si>
    <t>ORD-10278</t>
  </si>
  <si>
    <t>ORD-10279</t>
  </si>
  <si>
    <t>ORD-10280</t>
  </si>
  <si>
    <t>ORD-10281</t>
  </si>
  <si>
    <t>ORD-10282</t>
  </si>
  <si>
    <t>ORD-10283</t>
  </si>
  <si>
    <t>ORD-10284</t>
  </si>
  <si>
    <t>ORD-10285</t>
  </si>
  <si>
    <t>ORD-10286</t>
  </si>
  <si>
    <t>ORD-10287</t>
  </si>
  <si>
    <t>ORD-10288</t>
  </si>
  <si>
    <t>ORD-10289</t>
  </si>
  <si>
    <t>ORD-10290</t>
  </si>
  <si>
    <t>ORD-10291</t>
  </si>
  <si>
    <t>ORD-10292</t>
  </si>
  <si>
    <t>ORD-10293</t>
  </si>
  <si>
    <t>ORD-10294</t>
  </si>
  <si>
    <t>ORD-10295</t>
  </si>
  <si>
    <t>ORD-10296</t>
  </si>
  <si>
    <t>ORD-10297</t>
  </si>
  <si>
    <t>ORD-10298</t>
  </si>
  <si>
    <t>ORD-10299</t>
  </si>
  <si>
    <t>ORD-10300</t>
  </si>
  <si>
    <t>ORD-10301</t>
  </si>
  <si>
    <t>ORD-10302</t>
  </si>
  <si>
    <t>ORD-10303</t>
  </si>
  <si>
    <t>ORD-10304</t>
  </si>
  <si>
    <t>ORD-10305</t>
  </si>
  <si>
    <t>ORD-10306</t>
  </si>
  <si>
    <t>ORD-10307</t>
  </si>
  <si>
    <t>ORD-10308</t>
  </si>
  <si>
    <t>ORD-10309</t>
  </si>
  <si>
    <t>ORD-10310</t>
  </si>
  <si>
    <t>ORD-10311</t>
  </si>
  <si>
    <t>ORD-10312</t>
  </si>
  <si>
    <t>ORD-10313</t>
  </si>
  <si>
    <t>ORD-10314</t>
  </si>
  <si>
    <t>ORD-10315</t>
  </si>
  <si>
    <t>ORD-10316</t>
  </si>
  <si>
    <t>ORD-10317</t>
  </si>
  <si>
    <t>ORD-10318</t>
  </si>
  <si>
    <t>ORD-10319</t>
  </si>
  <si>
    <t>ORD-10320</t>
  </si>
  <si>
    <t>ORD-10321</t>
  </si>
  <si>
    <t>ORD-10322</t>
  </si>
  <si>
    <t>ORD-10323</t>
  </si>
  <si>
    <t>ORD-10324</t>
  </si>
  <si>
    <t>ORD-10325</t>
  </si>
  <si>
    <t>ORD-10326</t>
  </si>
  <si>
    <t>ORD-10327</t>
  </si>
  <si>
    <t>ORD-10328</t>
  </si>
  <si>
    <t>ORD-10329</t>
  </si>
  <si>
    <t>ORD-10330</t>
  </si>
  <si>
    <t>ORD-10331</t>
  </si>
  <si>
    <t>ORD-10332</t>
  </si>
  <si>
    <t>ORD-10333</t>
  </si>
  <si>
    <t>ORD-10334</t>
  </si>
  <si>
    <t>ORD-10335</t>
  </si>
  <si>
    <t>ORD-10336</t>
  </si>
  <si>
    <t>ORD-10337</t>
  </si>
  <si>
    <t>ORD-10338</t>
  </si>
  <si>
    <t>ORD-10339</t>
  </si>
  <si>
    <t>ORD-10340</t>
  </si>
  <si>
    <t>ORD-10341</t>
  </si>
  <si>
    <t>ORD-10342</t>
  </si>
  <si>
    <t>ORD-10343</t>
  </si>
  <si>
    <t>ORD-10344</t>
  </si>
  <si>
    <t>ORD-10345</t>
  </si>
  <si>
    <t>ORD-10346</t>
  </si>
  <si>
    <t>ORD-10347</t>
  </si>
  <si>
    <t>ORD-10348</t>
  </si>
  <si>
    <t>ORD-10349</t>
  </si>
  <si>
    <t>ORD-10350</t>
  </si>
  <si>
    <t>ORD-10351</t>
  </si>
  <si>
    <t>ORD-10352</t>
  </si>
  <si>
    <t>ORD-10353</t>
  </si>
  <si>
    <t>ORD-10354</t>
  </si>
  <si>
    <t>ORD-10355</t>
  </si>
  <si>
    <t>ORD-10356</t>
  </si>
  <si>
    <t>ORD-10357</t>
  </si>
  <si>
    <t>ORD-10358</t>
  </si>
  <si>
    <t>ORD-10359</t>
  </si>
  <si>
    <t>ORD-10360</t>
  </si>
  <si>
    <t>ORD-10361</t>
  </si>
  <si>
    <t>ORD-10362</t>
  </si>
  <si>
    <t>ORD-10363</t>
  </si>
  <si>
    <t>ORD-10364</t>
  </si>
  <si>
    <t>ORD-10365</t>
  </si>
  <si>
    <t>ORD-10366</t>
  </si>
  <si>
    <t>ORD-10367</t>
  </si>
  <si>
    <t>ORD-10368</t>
  </si>
  <si>
    <t>ORD-10369</t>
  </si>
  <si>
    <t>ORD-10370</t>
  </si>
  <si>
    <t>ORD-10371</t>
  </si>
  <si>
    <t>ORD-10372</t>
  </si>
  <si>
    <t>ORD-10373</t>
  </si>
  <si>
    <t>ORD-10374</t>
  </si>
  <si>
    <t>ORD-10375</t>
  </si>
  <si>
    <t>ORD-10376</t>
  </si>
  <si>
    <t>ORD-10377</t>
  </si>
  <si>
    <t>ORD-10378</t>
  </si>
  <si>
    <t>ORD-10379</t>
  </si>
  <si>
    <t>ORD-10380</t>
  </si>
  <si>
    <t>ORD-10381</t>
  </si>
  <si>
    <t>ORD-10382</t>
  </si>
  <si>
    <t>ORD-10383</t>
  </si>
  <si>
    <t>ORD-10384</t>
  </si>
  <si>
    <t>ORD-10385</t>
  </si>
  <si>
    <t>ORD-10386</t>
  </si>
  <si>
    <t>ORD-10387</t>
  </si>
  <si>
    <t>ORD-10388</t>
  </si>
  <si>
    <t>ORD-10389</t>
  </si>
  <si>
    <t>ORD-10390</t>
  </si>
  <si>
    <t>ORD-10391</t>
  </si>
  <si>
    <t>ORD-10392</t>
  </si>
  <si>
    <t>ORD-10393</t>
  </si>
  <si>
    <t>ORD-10394</t>
  </si>
  <si>
    <t>ORD-10395</t>
  </si>
  <si>
    <t>ORD-10396</t>
  </si>
  <si>
    <t>ORD-10397</t>
  </si>
  <si>
    <t>ORD-10398</t>
  </si>
  <si>
    <t>ORD-10399</t>
  </si>
  <si>
    <t>ORD-10400</t>
  </si>
  <si>
    <t>ORD-10401</t>
  </si>
  <si>
    <t>ORD-10402</t>
  </si>
  <si>
    <t>ORD-10403</t>
  </si>
  <si>
    <t>ORD-10404</t>
  </si>
  <si>
    <t>ORD-10405</t>
  </si>
  <si>
    <t>ORD-10406</t>
  </si>
  <si>
    <t>ORD-10407</t>
  </si>
  <si>
    <t>ORD-10408</t>
  </si>
  <si>
    <t>ORD-10409</t>
  </si>
  <si>
    <t>ORD-10410</t>
  </si>
  <si>
    <t>ORD-10411</t>
  </si>
  <si>
    <t>ORD-10412</t>
  </si>
  <si>
    <t>ORD-10413</t>
  </si>
  <si>
    <t>ORD-10414</t>
  </si>
  <si>
    <t>ORD-10415</t>
  </si>
  <si>
    <t>ORD-10416</t>
  </si>
  <si>
    <t>ORD-10417</t>
  </si>
  <si>
    <t>ORD-10418</t>
  </si>
  <si>
    <t>ORD-10419</t>
  </si>
  <si>
    <t>ORD-10420</t>
  </si>
  <si>
    <t>ORD-10421</t>
  </si>
  <si>
    <t>ORD-10422</t>
  </si>
  <si>
    <t>ORD-10423</t>
  </si>
  <si>
    <t>ORD-10424</t>
  </si>
  <si>
    <t>ORD-10425</t>
  </si>
  <si>
    <t>ORD-10426</t>
  </si>
  <si>
    <t>ORD-10427</t>
  </si>
  <si>
    <t>ORD-10428</t>
  </si>
  <si>
    <t>ORD-10429</t>
  </si>
  <si>
    <t>ORD-10430</t>
  </si>
  <si>
    <t>ORD-10431</t>
  </si>
  <si>
    <t>ORD-10432</t>
  </si>
  <si>
    <t>ORD-10433</t>
  </si>
  <si>
    <t>ORD-10434</t>
  </si>
  <si>
    <t>ORD-10435</t>
  </si>
  <si>
    <t>ORD-10436</t>
  </si>
  <si>
    <t>ORD-10437</t>
  </si>
  <si>
    <t>ORD-10438</t>
  </si>
  <si>
    <t>ORD-10439</t>
  </si>
  <si>
    <t>ORD-10440</t>
  </si>
  <si>
    <t>ORD-10441</t>
  </si>
  <si>
    <t>ORD-10442</t>
  </si>
  <si>
    <t>ORD-10443</t>
  </si>
  <si>
    <t>ORD-10444</t>
  </si>
  <si>
    <t>ORD-10445</t>
  </si>
  <si>
    <t>ORD-10446</t>
  </si>
  <si>
    <t>ORD-10447</t>
  </si>
  <si>
    <t>ORD-10448</t>
  </si>
  <si>
    <t>ORD-10449</t>
  </si>
  <si>
    <t>ORD-10450</t>
  </si>
  <si>
    <t>ORD-10451</t>
  </si>
  <si>
    <t>ORD-10452</t>
  </si>
  <si>
    <t>ORD-10453</t>
  </si>
  <si>
    <t>ORD-10454</t>
  </si>
  <si>
    <t>ORD-10455</t>
  </si>
  <si>
    <t>ORD-10456</t>
  </si>
  <si>
    <t>ORD-10457</t>
  </si>
  <si>
    <t>ORD-10458</t>
  </si>
  <si>
    <t>ORD-10459</t>
  </si>
  <si>
    <t>ORD-10460</t>
  </si>
  <si>
    <t>ORD-10461</t>
  </si>
  <si>
    <t>ORD-10462</t>
  </si>
  <si>
    <t>ORD-10463</t>
  </si>
  <si>
    <t>ORD-10464</t>
  </si>
  <si>
    <t>ORD-10465</t>
  </si>
  <si>
    <t>ORD-10466</t>
  </si>
  <si>
    <t>ORD-10467</t>
  </si>
  <si>
    <t>ORD-10468</t>
  </si>
  <si>
    <t>ORD-10469</t>
  </si>
  <si>
    <t>ORD-10470</t>
  </si>
  <si>
    <t>ORD-10471</t>
  </si>
  <si>
    <t>ORD-10472</t>
  </si>
  <si>
    <t>ORD-10473</t>
  </si>
  <si>
    <t>ORD-10474</t>
  </si>
  <si>
    <t>ORD-10475</t>
  </si>
  <si>
    <t>ORD-10476</t>
  </si>
  <si>
    <t>ORD-10477</t>
  </si>
  <si>
    <t>ORD-10478</t>
  </si>
  <si>
    <t>ORD-10479</t>
  </si>
  <si>
    <t>ORD-10480</t>
  </si>
  <si>
    <t>SUM</t>
  </si>
  <si>
    <t>Function</t>
  </si>
  <si>
    <t>Business Question</t>
  </si>
  <si>
    <t>Result</t>
  </si>
  <si>
    <t>What is the total sales amount?</t>
  </si>
  <si>
    <t>AVERAGE</t>
  </si>
  <si>
    <t>What is the average sales value per transaction?</t>
  </si>
  <si>
    <t>COUNTIF</t>
  </si>
  <si>
    <t>How many transactions generated a profit?</t>
  </si>
  <si>
    <t>SUMIF</t>
  </si>
  <si>
    <t>What are the total Technology sales?</t>
  </si>
  <si>
    <t>SUMIFS</t>
  </si>
  <si>
    <t>What are Technology sales in the North region?</t>
  </si>
  <si>
    <t>IF</t>
  </si>
  <si>
    <t>Is the overall business making a profit or loss?</t>
  </si>
  <si>
    <t>Who is the regional manager for the North region?</t>
  </si>
  <si>
    <t>INDEX</t>
  </si>
  <si>
    <t>TEXT</t>
  </si>
  <si>
    <t>What month was the first order placed?</t>
  </si>
  <si>
    <t>ROUND</t>
  </si>
  <si>
    <t>What is the first sales value rounded to a whole number?</t>
  </si>
  <si>
    <t>Row Labels</t>
  </si>
  <si>
    <t>Grand Total</t>
  </si>
  <si>
    <t>Sum of Sales</t>
  </si>
  <si>
    <t>Sales by Region</t>
  </si>
  <si>
    <t>Profit by Category</t>
  </si>
  <si>
    <t>Sum of Profit</t>
  </si>
  <si>
    <t>Sales by Segment</t>
  </si>
  <si>
    <t>Monthly Sales Trend</t>
  </si>
  <si>
    <t>2024</t>
  </si>
  <si>
    <t>Jan</t>
  </si>
  <si>
    <t>Feb</t>
  </si>
  <si>
    <t>Mar</t>
  </si>
  <si>
    <t>Apr</t>
  </si>
  <si>
    <t>May</t>
  </si>
  <si>
    <t>Jun</t>
  </si>
  <si>
    <t>Jul</t>
  </si>
  <si>
    <t>Aug</t>
  </si>
  <si>
    <t>Sep</t>
  </si>
  <si>
    <t>Oct</t>
  </si>
  <si>
    <t>Nov</t>
  </si>
  <si>
    <t>Dec</t>
  </si>
  <si>
    <t>2025</t>
  </si>
  <si>
    <t>Profit by Sub-Category</t>
  </si>
  <si>
    <t>SUPERSTORE PERFORMANCE DASHBOARD</t>
  </si>
  <si>
    <t>Sales • Profit • Customers • Product Performance</t>
  </si>
  <si>
    <t>TOTAL SALES</t>
  </si>
  <si>
    <t>TOTAL PROFIT</t>
  </si>
  <si>
    <t>PROFIT MARGIN</t>
  </si>
  <si>
    <t>NUMBER OF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</si>
</sst>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 #,##0.00"/>
    <numFmt numFmtId="165" formatCode="[$$-C09]#,##0.00"/>
    <numFmt numFmtId="168" formatCode="[$$-C09]#,##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b/>
      <sz val="24"/>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4">
    <xf numFmtId="0" fontId="0" fillId="0" borderId="0" xfId="0"/>
    <xf numFmtId="14" fontId="0" fillId="0" borderId="0" xfId="0" applyNumberFormat="1"/>
    <xf numFmtId="2" fontId="0" fillId="0" borderId="0" xfId="0" applyNumberFormat="1"/>
    <xf numFmtId="164" fontId="0" fillId="0" borderId="0" xfId="0" applyNumberFormat="1"/>
    <xf numFmtId="49" fontId="0" fillId="0" borderId="0" xfId="0" applyNumberFormat="1"/>
    <xf numFmtId="0" fontId="0" fillId="0" borderId="0" xfId="0" pivotButton="1"/>
    <xf numFmtId="0" fontId="0" fillId="0" borderId="0" xfId="0" applyAlignment="1">
      <alignment horizontal="left"/>
    </xf>
    <xf numFmtId="165" fontId="0" fillId="0" borderId="0" xfId="0" applyNumberFormat="1"/>
    <xf numFmtId="14" fontId="0" fillId="0" borderId="0" xfId="0" applyNumberFormat="1" applyAlignment="1">
      <alignment horizontal="left" indent="1"/>
    </xf>
    <xf numFmtId="0" fontId="0" fillId="0" borderId="0" xfId="0" applyAlignment="1">
      <alignment horizontal="center"/>
    </xf>
    <xf numFmtId="0" fontId="18" fillId="0" borderId="0" xfId="0" applyFont="1" applyAlignment="1">
      <alignment horizontal="center"/>
    </xf>
    <xf numFmtId="0" fontId="19" fillId="0" borderId="0" xfId="0" applyFont="1" applyAlignment="1">
      <alignment horizontal="center"/>
    </xf>
    <xf numFmtId="168" fontId="0" fillId="0" borderId="0" xfId="0" applyNumberFormat="1" applyAlignment="1">
      <alignment horizontal="center"/>
    </xf>
    <xf numFmtId="9" fontId="0" fillId="0" borderId="0" xfId="42" applyFont="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 cent" xfId="42" builtinId="5"/>
    <cellStyle name="Title" xfId="1" builtinId="15" customBuiltin="1"/>
    <cellStyle name="Total" xfId="17" builtinId="25" customBuiltin="1"/>
    <cellStyle name="Warning Text" xfId="14" builtinId="11" customBuiltin="1"/>
  </cellStyles>
  <dxfs count="2">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[Superstore_Data_.xlsx]Pivot_Analysis!PivotTable1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Pivot_Analysis!$B$3</c:f>
              <c:strCache>
                <c:ptCount val="1"/>
                <c:pt idx="0">
                  <c:v>Total</c:v>
                </c:pt>
              </c:strCache>
            </c:strRef>
          </c:tx>
          <c:spPr>
            <a:solidFill>
              <a:schemeClr val="accent1"/>
            </a:solidFill>
            <a:ln>
              <a:noFill/>
            </a:ln>
            <a:effectLst/>
          </c:spPr>
          <c:invertIfNegative val="0"/>
          <c:cat>
            <c:strRef>
              <c:f>Pivot_Analysis!$A$4:$A$8</c:f>
              <c:strCache>
                <c:ptCount val="4"/>
                <c:pt idx="0">
                  <c:v>North</c:v>
                </c:pt>
                <c:pt idx="1">
                  <c:v>South</c:v>
                </c:pt>
                <c:pt idx="2">
                  <c:v>West</c:v>
                </c:pt>
                <c:pt idx="3">
                  <c:v>Central</c:v>
                </c:pt>
              </c:strCache>
            </c:strRef>
          </c:cat>
          <c:val>
            <c:numRef>
              <c:f>Pivot_Analysis!$B$4:$B$8</c:f>
              <c:numCache>
                <c:formatCode>[$$-C09]#,##0.00</c:formatCode>
                <c:ptCount val="4"/>
                <c:pt idx="0">
                  <c:v>262248</c:v>
                </c:pt>
                <c:pt idx="1">
                  <c:v>225908</c:v>
                </c:pt>
                <c:pt idx="2">
                  <c:v>177195.99999999997</c:v>
                </c:pt>
                <c:pt idx="3">
                  <c:v>136194.00000000003</c:v>
                </c:pt>
              </c:numCache>
            </c:numRef>
          </c:val>
          <c:extLst>
            <c:ext xmlns:c16="http://schemas.microsoft.com/office/drawing/2014/chart" uri="{C3380CC4-5D6E-409C-BE32-E72D297353CC}">
              <c16:uniqueId val="{00000000-4A03-45F3-BD5A-B153BE186414}"/>
            </c:ext>
          </c:extLst>
        </c:ser>
        <c:dLbls>
          <c:showLegendKey val="0"/>
          <c:showVal val="0"/>
          <c:showCatName val="0"/>
          <c:showSerName val="0"/>
          <c:showPercent val="0"/>
          <c:showBubbleSize val="0"/>
        </c:dLbls>
        <c:gapWidth val="219"/>
        <c:overlap val="-27"/>
        <c:axId val="1726644752"/>
        <c:axId val="1726644336"/>
      </c:barChart>
      <c:catAx>
        <c:axId val="1726644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6644336"/>
        <c:crosses val="autoZero"/>
        <c:auto val="1"/>
        <c:lblAlgn val="ctr"/>
        <c:lblOffset val="100"/>
        <c:noMultiLvlLbl val="0"/>
      </c:catAx>
      <c:valAx>
        <c:axId val="1726644336"/>
        <c:scaling>
          <c:orientation val="minMax"/>
        </c:scaling>
        <c:delete val="0"/>
        <c:axPos val="l"/>
        <c:majorGridlines>
          <c:spPr>
            <a:ln w="9525" cap="flat" cmpd="sng" algn="ctr">
              <a:solidFill>
                <a:schemeClr val="tx1">
                  <a:lumMod val="15000"/>
                  <a:lumOff val="85000"/>
                </a:schemeClr>
              </a:solidFill>
              <a:round/>
            </a:ln>
            <a:effectLst/>
          </c:spPr>
        </c:majorGridlines>
        <c:numFmt formatCode="[$$-C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6644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[Superstore_Data_.xlsx]Pivot_Analysis!PivotTable3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Pivot_Analysis!$J$3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Pivot_Analysis!$I$4:$I$7</c:f>
              <c:strCache>
                <c:ptCount val="3"/>
                <c:pt idx="0">
                  <c:v>Consumer</c:v>
                </c:pt>
                <c:pt idx="1">
                  <c:v>Corporate</c:v>
                </c:pt>
                <c:pt idx="2">
                  <c:v>Home Office</c:v>
                </c:pt>
              </c:strCache>
            </c:strRef>
          </c:cat>
          <c:val>
            <c:numRef>
              <c:f>Pivot_Analysis!$J$4:$J$7</c:f>
              <c:numCache>
                <c:formatCode>[$$-C09]#,##0.00</c:formatCode>
                <c:ptCount val="3"/>
                <c:pt idx="0">
                  <c:v>279144.00000000006</c:v>
                </c:pt>
                <c:pt idx="1">
                  <c:v>268092</c:v>
                </c:pt>
                <c:pt idx="2">
                  <c:v>254310</c:v>
                </c:pt>
              </c:numCache>
            </c:numRef>
          </c:val>
          <c:extLst>
            <c:ext xmlns:c16="http://schemas.microsoft.com/office/drawing/2014/chart" uri="{C3380CC4-5D6E-409C-BE32-E72D297353CC}">
              <c16:uniqueId val="{00000000-6157-4A3D-A9C7-75E13454B23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[Superstore_Data_.xlsx]Pivot_Analysis!PivotTable2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Pivot_Analysis!$F$3</c:f>
              <c:strCache>
                <c:ptCount val="1"/>
                <c:pt idx="0">
                  <c:v>Total</c:v>
                </c:pt>
              </c:strCache>
            </c:strRef>
          </c:tx>
          <c:spPr>
            <a:solidFill>
              <a:schemeClr val="accent1"/>
            </a:solidFill>
            <a:ln>
              <a:noFill/>
            </a:ln>
            <a:effectLst/>
          </c:spPr>
          <c:invertIfNegative val="0"/>
          <c:cat>
            <c:strRef>
              <c:f>Pivot_Analysis!$E$4:$E$7</c:f>
              <c:strCache>
                <c:ptCount val="3"/>
                <c:pt idx="0">
                  <c:v>Office Supplies</c:v>
                </c:pt>
                <c:pt idx="1">
                  <c:v>Technology</c:v>
                </c:pt>
                <c:pt idx="2">
                  <c:v>Furniture</c:v>
                </c:pt>
              </c:strCache>
            </c:strRef>
          </c:cat>
          <c:val>
            <c:numRef>
              <c:f>Pivot_Analysis!$F$4:$F$7</c:f>
              <c:numCache>
                <c:formatCode>[$$-C09]#,##0.00</c:formatCode>
                <c:ptCount val="3"/>
                <c:pt idx="0">
                  <c:v>64253.909999999967</c:v>
                </c:pt>
                <c:pt idx="1">
                  <c:v>40156.259999999995</c:v>
                </c:pt>
                <c:pt idx="2">
                  <c:v>37589.040000000001</c:v>
                </c:pt>
              </c:numCache>
            </c:numRef>
          </c:val>
          <c:extLst>
            <c:ext xmlns:c16="http://schemas.microsoft.com/office/drawing/2014/chart" uri="{C3380CC4-5D6E-409C-BE32-E72D297353CC}">
              <c16:uniqueId val="{00000000-D082-4E14-B15A-715DBCE017D0}"/>
            </c:ext>
          </c:extLst>
        </c:ser>
        <c:dLbls>
          <c:showLegendKey val="0"/>
          <c:showVal val="0"/>
          <c:showCatName val="0"/>
          <c:showSerName val="0"/>
          <c:showPercent val="0"/>
          <c:showBubbleSize val="0"/>
        </c:dLbls>
        <c:gapWidth val="182"/>
        <c:axId val="1812644528"/>
        <c:axId val="1812647440"/>
      </c:barChart>
      <c:catAx>
        <c:axId val="1812644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2647440"/>
        <c:crosses val="autoZero"/>
        <c:auto val="1"/>
        <c:lblAlgn val="ctr"/>
        <c:lblOffset val="100"/>
        <c:noMultiLvlLbl val="0"/>
      </c:catAx>
      <c:valAx>
        <c:axId val="1812647440"/>
        <c:scaling>
          <c:orientation val="minMax"/>
        </c:scaling>
        <c:delete val="0"/>
        <c:axPos val="b"/>
        <c:majorGridlines>
          <c:spPr>
            <a:ln w="9525" cap="flat" cmpd="sng" algn="ctr">
              <a:solidFill>
                <a:schemeClr val="tx1">
                  <a:lumMod val="15000"/>
                  <a:lumOff val="85000"/>
                </a:schemeClr>
              </a:solidFill>
              <a:round/>
            </a:ln>
            <a:effectLst/>
          </c:spPr>
        </c:majorGridlines>
        <c:numFmt formatCode="[$$-C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2644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[Superstore_Data_.xlsx]Pivot_Analysis!PivotTable4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Pivot_Analysis!$N$3</c:f>
              <c:strCache>
                <c:ptCount val="1"/>
                <c:pt idx="0">
                  <c:v>Total</c:v>
                </c:pt>
              </c:strCache>
            </c:strRef>
          </c:tx>
          <c:spPr>
            <a:ln w="28575" cap="rnd">
              <a:solidFill>
                <a:schemeClr val="accent1"/>
              </a:solidFill>
              <a:round/>
            </a:ln>
            <a:effectLst/>
          </c:spPr>
          <c:marker>
            <c:symbol val="none"/>
          </c:marker>
          <c:cat>
            <c:multiLvlStrRef>
              <c:f>Pivot_Analysis!$M$4:$M$30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Pivot_Analysis!$N$4:$N$30</c:f>
              <c:numCache>
                <c:formatCode>[$$-C09]#,##0.00</c:formatCode>
                <c:ptCount val="24"/>
                <c:pt idx="0">
                  <c:v>27902.9</c:v>
                </c:pt>
                <c:pt idx="1">
                  <c:v>30059.500000000004</c:v>
                </c:pt>
                <c:pt idx="2">
                  <c:v>30368.2</c:v>
                </c:pt>
                <c:pt idx="3">
                  <c:v>36119.30000000001</c:v>
                </c:pt>
                <c:pt idx="4">
                  <c:v>36484.9</c:v>
                </c:pt>
                <c:pt idx="5">
                  <c:v>30829.4</c:v>
                </c:pt>
                <c:pt idx="6">
                  <c:v>28977.7</c:v>
                </c:pt>
                <c:pt idx="7">
                  <c:v>37118.9</c:v>
                </c:pt>
                <c:pt idx="8">
                  <c:v>32834.800000000003</c:v>
                </c:pt>
                <c:pt idx="9">
                  <c:v>42848.3</c:v>
                </c:pt>
                <c:pt idx="10">
                  <c:v>29772.7</c:v>
                </c:pt>
                <c:pt idx="11">
                  <c:v>32308.400000000001</c:v>
                </c:pt>
                <c:pt idx="12">
                  <c:v>30587.899999999998</c:v>
                </c:pt>
                <c:pt idx="13">
                  <c:v>33518.500000000007</c:v>
                </c:pt>
                <c:pt idx="14">
                  <c:v>39140.200000000004</c:v>
                </c:pt>
                <c:pt idx="15">
                  <c:v>28658.3</c:v>
                </c:pt>
                <c:pt idx="16">
                  <c:v>29479.899999999998</c:v>
                </c:pt>
                <c:pt idx="17">
                  <c:v>32512.400000000001</c:v>
                </c:pt>
                <c:pt idx="18">
                  <c:v>38247.699999999997</c:v>
                </c:pt>
                <c:pt idx="19">
                  <c:v>39965.900000000009</c:v>
                </c:pt>
                <c:pt idx="20">
                  <c:v>28144.400000000001</c:v>
                </c:pt>
                <c:pt idx="21">
                  <c:v>34869.700000000004</c:v>
                </c:pt>
                <c:pt idx="22">
                  <c:v>33696.700000000004</c:v>
                </c:pt>
                <c:pt idx="23">
                  <c:v>37099.4</c:v>
                </c:pt>
              </c:numCache>
            </c:numRef>
          </c:val>
          <c:smooth val="0"/>
          <c:extLst>
            <c:ext xmlns:c16="http://schemas.microsoft.com/office/drawing/2014/chart" uri="{C3380CC4-5D6E-409C-BE32-E72D297353CC}">
              <c16:uniqueId val="{00000000-4328-4A29-B8ED-634F8E35256A}"/>
            </c:ext>
          </c:extLst>
        </c:ser>
        <c:dLbls>
          <c:showLegendKey val="0"/>
          <c:showVal val="0"/>
          <c:showCatName val="0"/>
          <c:showSerName val="0"/>
          <c:showPercent val="0"/>
          <c:showBubbleSize val="0"/>
        </c:dLbls>
        <c:smooth val="0"/>
        <c:axId val="1812647856"/>
        <c:axId val="1812642864"/>
      </c:lineChart>
      <c:catAx>
        <c:axId val="1812647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2642864"/>
        <c:crosses val="autoZero"/>
        <c:auto val="1"/>
        <c:lblAlgn val="ctr"/>
        <c:lblOffset val="100"/>
        <c:noMultiLvlLbl val="0"/>
      </c:catAx>
      <c:valAx>
        <c:axId val="1812642864"/>
        <c:scaling>
          <c:orientation val="minMax"/>
        </c:scaling>
        <c:delete val="0"/>
        <c:axPos val="l"/>
        <c:majorGridlines>
          <c:spPr>
            <a:ln w="9525" cap="flat" cmpd="sng" algn="ctr">
              <a:solidFill>
                <a:schemeClr val="tx1">
                  <a:lumMod val="15000"/>
                  <a:lumOff val="85000"/>
                </a:schemeClr>
              </a:solidFill>
              <a:round/>
            </a:ln>
            <a:effectLst/>
          </c:spPr>
        </c:majorGridlines>
        <c:numFmt formatCode="[$$-C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2647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[Superstore_Data_.xlsx]Pivot_Analysis!PivotTable5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Pivot_Analysis!$R$3</c:f>
              <c:strCache>
                <c:ptCount val="1"/>
                <c:pt idx="0">
                  <c:v>Total</c:v>
                </c:pt>
              </c:strCache>
            </c:strRef>
          </c:tx>
          <c:spPr>
            <a:solidFill>
              <a:schemeClr val="accent1"/>
            </a:solidFill>
            <a:ln>
              <a:noFill/>
            </a:ln>
            <a:effectLst/>
          </c:spPr>
          <c:invertIfNegative val="0"/>
          <c:cat>
            <c:strRef>
              <c:f>Pivot_Analysis!$Q$4:$Q$13</c:f>
              <c:strCache>
                <c:ptCount val="9"/>
                <c:pt idx="0">
                  <c:v>Bookcases</c:v>
                </c:pt>
                <c:pt idx="1">
                  <c:v>Tables</c:v>
                </c:pt>
                <c:pt idx="2">
                  <c:v>Phones</c:v>
                </c:pt>
                <c:pt idx="3">
                  <c:v>Accessories</c:v>
                </c:pt>
                <c:pt idx="4">
                  <c:v>Chairs</c:v>
                </c:pt>
                <c:pt idx="5">
                  <c:v>Copiers</c:v>
                </c:pt>
                <c:pt idx="6">
                  <c:v>Paper</c:v>
                </c:pt>
                <c:pt idx="7">
                  <c:v>Storage</c:v>
                </c:pt>
                <c:pt idx="8">
                  <c:v>Binders</c:v>
                </c:pt>
              </c:strCache>
            </c:strRef>
          </c:cat>
          <c:val>
            <c:numRef>
              <c:f>Pivot_Analysis!$R$4:$R$13</c:f>
              <c:numCache>
                <c:formatCode>[$$-C09]#,##0.00</c:formatCode>
                <c:ptCount val="9"/>
                <c:pt idx="0">
                  <c:v>11776.27</c:v>
                </c:pt>
                <c:pt idx="1">
                  <c:v>12542.899999999996</c:v>
                </c:pt>
                <c:pt idx="2">
                  <c:v>12570.549999999997</c:v>
                </c:pt>
                <c:pt idx="3">
                  <c:v>12863.249999999996</c:v>
                </c:pt>
                <c:pt idx="4">
                  <c:v>13269.869999999999</c:v>
                </c:pt>
                <c:pt idx="5">
                  <c:v>14722.460000000005</c:v>
                </c:pt>
                <c:pt idx="6">
                  <c:v>20964.439999999999</c:v>
                </c:pt>
                <c:pt idx="7">
                  <c:v>21377.260000000002</c:v>
                </c:pt>
                <c:pt idx="8">
                  <c:v>21912.21</c:v>
                </c:pt>
              </c:numCache>
            </c:numRef>
          </c:val>
          <c:extLst>
            <c:ext xmlns:c16="http://schemas.microsoft.com/office/drawing/2014/chart" uri="{C3380CC4-5D6E-409C-BE32-E72D297353CC}">
              <c16:uniqueId val="{00000000-B09A-468F-AA7F-8A3A8697E7FA}"/>
            </c:ext>
          </c:extLst>
        </c:ser>
        <c:dLbls>
          <c:showLegendKey val="0"/>
          <c:showVal val="0"/>
          <c:showCatName val="0"/>
          <c:showSerName val="0"/>
          <c:showPercent val="0"/>
          <c:showBubbleSize val="0"/>
        </c:dLbls>
        <c:gapWidth val="182"/>
        <c:axId val="1823179808"/>
        <c:axId val="1823183968"/>
      </c:barChart>
      <c:catAx>
        <c:axId val="1823179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3183968"/>
        <c:crosses val="autoZero"/>
        <c:auto val="1"/>
        <c:lblAlgn val="ctr"/>
        <c:lblOffset val="100"/>
        <c:noMultiLvlLbl val="0"/>
      </c:catAx>
      <c:valAx>
        <c:axId val="1823183968"/>
        <c:scaling>
          <c:orientation val="minMax"/>
        </c:scaling>
        <c:delete val="0"/>
        <c:axPos val="b"/>
        <c:majorGridlines>
          <c:spPr>
            <a:ln w="9525" cap="flat" cmpd="sng" algn="ctr">
              <a:solidFill>
                <a:schemeClr val="tx1">
                  <a:lumMod val="15000"/>
                  <a:lumOff val="85000"/>
                </a:schemeClr>
              </a:solidFill>
              <a:round/>
            </a:ln>
            <a:effectLst/>
          </c:spPr>
        </c:majorGridlines>
        <c:numFmt formatCode="[$$-C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3179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[Superstore_Data_.xlsx]Pivot_Analysis!PivotTable1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Pivot_Analysis!$B$3</c:f>
              <c:strCache>
                <c:ptCount val="1"/>
                <c:pt idx="0">
                  <c:v>Total</c:v>
                </c:pt>
              </c:strCache>
            </c:strRef>
          </c:tx>
          <c:spPr>
            <a:solidFill>
              <a:schemeClr val="accent1"/>
            </a:solidFill>
            <a:ln>
              <a:noFill/>
            </a:ln>
            <a:effectLst/>
          </c:spPr>
          <c:invertIfNegative val="0"/>
          <c:cat>
            <c:strRef>
              <c:f>Pivot_Analysis!$A$4:$A$8</c:f>
              <c:strCache>
                <c:ptCount val="4"/>
                <c:pt idx="0">
                  <c:v>North</c:v>
                </c:pt>
                <c:pt idx="1">
                  <c:v>South</c:v>
                </c:pt>
                <c:pt idx="2">
                  <c:v>West</c:v>
                </c:pt>
                <c:pt idx="3">
                  <c:v>Central</c:v>
                </c:pt>
              </c:strCache>
            </c:strRef>
          </c:cat>
          <c:val>
            <c:numRef>
              <c:f>Pivot_Analysis!$B$4:$B$8</c:f>
              <c:numCache>
                <c:formatCode>[$$-C09]#,##0.00</c:formatCode>
                <c:ptCount val="4"/>
                <c:pt idx="0">
                  <c:v>262248</c:v>
                </c:pt>
                <c:pt idx="1">
                  <c:v>225908</c:v>
                </c:pt>
                <c:pt idx="2">
                  <c:v>177195.99999999997</c:v>
                </c:pt>
                <c:pt idx="3">
                  <c:v>136194.00000000003</c:v>
                </c:pt>
              </c:numCache>
            </c:numRef>
          </c:val>
          <c:extLst>
            <c:ext xmlns:c16="http://schemas.microsoft.com/office/drawing/2014/chart" uri="{C3380CC4-5D6E-409C-BE32-E72D297353CC}">
              <c16:uniqueId val="{00000000-9A49-469C-B5C7-D627A9158F78}"/>
            </c:ext>
          </c:extLst>
        </c:ser>
        <c:dLbls>
          <c:showLegendKey val="0"/>
          <c:showVal val="0"/>
          <c:showCatName val="0"/>
          <c:showSerName val="0"/>
          <c:showPercent val="0"/>
          <c:showBubbleSize val="0"/>
        </c:dLbls>
        <c:gapWidth val="219"/>
        <c:overlap val="-27"/>
        <c:axId val="1726644752"/>
        <c:axId val="1726644336"/>
      </c:barChart>
      <c:catAx>
        <c:axId val="1726644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6644336"/>
        <c:crosses val="autoZero"/>
        <c:auto val="1"/>
        <c:lblAlgn val="ctr"/>
        <c:lblOffset val="100"/>
        <c:noMultiLvlLbl val="0"/>
      </c:catAx>
      <c:valAx>
        <c:axId val="1726644336"/>
        <c:scaling>
          <c:orientation val="minMax"/>
        </c:scaling>
        <c:delete val="0"/>
        <c:axPos val="l"/>
        <c:majorGridlines>
          <c:spPr>
            <a:ln w="9525" cap="flat" cmpd="sng" algn="ctr">
              <a:solidFill>
                <a:schemeClr val="tx1">
                  <a:lumMod val="15000"/>
                  <a:lumOff val="85000"/>
                </a:schemeClr>
              </a:solidFill>
              <a:round/>
            </a:ln>
            <a:effectLst/>
          </c:spPr>
        </c:majorGridlines>
        <c:numFmt formatCode="[$$-C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6644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[Superstore_Data_.xlsx]Pivot_Analysis!PivotTable3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Pivot_Analysis!$J$3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9FC-40CC-B3C3-96AB25D3A3E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9FC-40CC-B3C3-96AB25D3A3E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9FC-40CC-B3C3-96AB25D3A3EE}"/>
              </c:ext>
            </c:extLst>
          </c:dPt>
          <c:cat>
            <c:strRef>
              <c:f>Pivot_Analysis!$I$4:$I$7</c:f>
              <c:strCache>
                <c:ptCount val="3"/>
                <c:pt idx="0">
                  <c:v>Consumer</c:v>
                </c:pt>
                <c:pt idx="1">
                  <c:v>Corporate</c:v>
                </c:pt>
                <c:pt idx="2">
                  <c:v>Home Office</c:v>
                </c:pt>
              </c:strCache>
            </c:strRef>
          </c:cat>
          <c:val>
            <c:numRef>
              <c:f>Pivot_Analysis!$J$4:$J$7</c:f>
              <c:numCache>
                <c:formatCode>[$$-C09]#,##0.00</c:formatCode>
                <c:ptCount val="3"/>
                <c:pt idx="0">
                  <c:v>279144.00000000006</c:v>
                </c:pt>
                <c:pt idx="1">
                  <c:v>268092</c:v>
                </c:pt>
                <c:pt idx="2">
                  <c:v>254310</c:v>
                </c:pt>
              </c:numCache>
            </c:numRef>
          </c:val>
          <c:extLst>
            <c:ext xmlns:c16="http://schemas.microsoft.com/office/drawing/2014/chart" uri="{C3380CC4-5D6E-409C-BE32-E72D297353CC}">
              <c16:uniqueId val="{00000006-A9FC-40CC-B3C3-96AB25D3A3E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[Superstore_Data_.xlsx]Pivot_Analysis!PivotTable2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Pivot_Analysis!$F$3</c:f>
              <c:strCache>
                <c:ptCount val="1"/>
                <c:pt idx="0">
                  <c:v>Total</c:v>
                </c:pt>
              </c:strCache>
            </c:strRef>
          </c:tx>
          <c:spPr>
            <a:solidFill>
              <a:schemeClr val="accent1"/>
            </a:solidFill>
            <a:ln>
              <a:noFill/>
            </a:ln>
            <a:effectLst/>
          </c:spPr>
          <c:invertIfNegative val="0"/>
          <c:cat>
            <c:strRef>
              <c:f>Pivot_Analysis!$E$4:$E$7</c:f>
              <c:strCache>
                <c:ptCount val="3"/>
                <c:pt idx="0">
                  <c:v>Office Supplies</c:v>
                </c:pt>
                <c:pt idx="1">
                  <c:v>Technology</c:v>
                </c:pt>
                <c:pt idx="2">
                  <c:v>Furniture</c:v>
                </c:pt>
              </c:strCache>
            </c:strRef>
          </c:cat>
          <c:val>
            <c:numRef>
              <c:f>Pivot_Analysis!$F$4:$F$7</c:f>
              <c:numCache>
                <c:formatCode>[$$-C09]#,##0.00</c:formatCode>
                <c:ptCount val="3"/>
                <c:pt idx="0">
                  <c:v>64253.909999999967</c:v>
                </c:pt>
                <c:pt idx="1">
                  <c:v>40156.259999999995</c:v>
                </c:pt>
                <c:pt idx="2">
                  <c:v>37589.040000000001</c:v>
                </c:pt>
              </c:numCache>
            </c:numRef>
          </c:val>
          <c:extLst>
            <c:ext xmlns:c16="http://schemas.microsoft.com/office/drawing/2014/chart" uri="{C3380CC4-5D6E-409C-BE32-E72D297353CC}">
              <c16:uniqueId val="{00000000-3D58-4025-AEBD-4320527B2C84}"/>
            </c:ext>
          </c:extLst>
        </c:ser>
        <c:dLbls>
          <c:showLegendKey val="0"/>
          <c:showVal val="0"/>
          <c:showCatName val="0"/>
          <c:showSerName val="0"/>
          <c:showPercent val="0"/>
          <c:showBubbleSize val="0"/>
        </c:dLbls>
        <c:gapWidth val="182"/>
        <c:axId val="1812644528"/>
        <c:axId val="1812647440"/>
      </c:barChart>
      <c:catAx>
        <c:axId val="1812644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2647440"/>
        <c:crosses val="autoZero"/>
        <c:auto val="1"/>
        <c:lblAlgn val="ctr"/>
        <c:lblOffset val="100"/>
        <c:noMultiLvlLbl val="0"/>
      </c:catAx>
      <c:valAx>
        <c:axId val="1812647440"/>
        <c:scaling>
          <c:orientation val="minMax"/>
        </c:scaling>
        <c:delete val="0"/>
        <c:axPos val="b"/>
        <c:majorGridlines>
          <c:spPr>
            <a:ln w="9525" cap="flat" cmpd="sng" algn="ctr">
              <a:solidFill>
                <a:schemeClr val="tx1">
                  <a:lumMod val="15000"/>
                  <a:lumOff val="85000"/>
                </a:schemeClr>
              </a:solidFill>
              <a:round/>
            </a:ln>
            <a:effectLst/>
          </c:spPr>
        </c:majorGridlines>
        <c:numFmt formatCode="[$$-C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2644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[Superstore_Data_.xlsx]Pivot_Analysis!PivotTable4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Pivot_Analysis!$N$3</c:f>
              <c:strCache>
                <c:ptCount val="1"/>
                <c:pt idx="0">
                  <c:v>Total</c:v>
                </c:pt>
              </c:strCache>
            </c:strRef>
          </c:tx>
          <c:spPr>
            <a:ln w="28575" cap="rnd">
              <a:solidFill>
                <a:schemeClr val="accent1"/>
              </a:solidFill>
              <a:round/>
            </a:ln>
            <a:effectLst/>
          </c:spPr>
          <c:marker>
            <c:symbol val="none"/>
          </c:marker>
          <c:cat>
            <c:multiLvlStrRef>
              <c:f>Pivot_Analysis!$M$4:$M$30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Pivot_Analysis!$N$4:$N$30</c:f>
              <c:numCache>
                <c:formatCode>[$$-C09]#,##0.00</c:formatCode>
                <c:ptCount val="24"/>
                <c:pt idx="0">
                  <c:v>27902.9</c:v>
                </c:pt>
                <c:pt idx="1">
                  <c:v>30059.500000000004</c:v>
                </c:pt>
                <c:pt idx="2">
                  <c:v>30368.2</c:v>
                </c:pt>
                <c:pt idx="3">
                  <c:v>36119.30000000001</c:v>
                </c:pt>
                <c:pt idx="4">
                  <c:v>36484.9</c:v>
                </c:pt>
                <c:pt idx="5">
                  <c:v>30829.4</c:v>
                </c:pt>
                <c:pt idx="6">
                  <c:v>28977.7</c:v>
                </c:pt>
                <c:pt idx="7">
                  <c:v>37118.9</c:v>
                </c:pt>
                <c:pt idx="8">
                  <c:v>32834.800000000003</c:v>
                </c:pt>
                <c:pt idx="9">
                  <c:v>42848.3</c:v>
                </c:pt>
                <c:pt idx="10">
                  <c:v>29772.7</c:v>
                </c:pt>
                <c:pt idx="11">
                  <c:v>32308.400000000001</c:v>
                </c:pt>
                <c:pt idx="12">
                  <c:v>30587.899999999998</c:v>
                </c:pt>
                <c:pt idx="13">
                  <c:v>33518.500000000007</c:v>
                </c:pt>
                <c:pt idx="14">
                  <c:v>39140.200000000004</c:v>
                </c:pt>
                <c:pt idx="15">
                  <c:v>28658.3</c:v>
                </c:pt>
                <c:pt idx="16">
                  <c:v>29479.899999999998</c:v>
                </c:pt>
                <c:pt idx="17">
                  <c:v>32512.400000000001</c:v>
                </c:pt>
                <c:pt idx="18">
                  <c:v>38247.699999999997</c:v>
                </c:pt>
                <c:pt idx="19">
                  <c:v>39965.900000000009</c:v>
                </c:pt>
                <c:pt idx="20">
                  <c:v>28144.400000000001</c:v>
                </c:pt>
                <c:pt idx="21">
                  <c:v>34869.700000000004</c:v>
                </c:pt>
                <c:pt idx="22">
                  <c:v>33696.700000000004</c:v>
                </c:pt>
                <c:pt idx="23">
                  <c:v>37099.4</c:v>
                </c:pt>
              </c:numCache>
            </c:numRef>
          </c:val>
          <c:smooth val="0"/>
          <c:extLst>
            <c:ext xmlns:c16="http://schemas.microsoft.com/office/drawing/2014/chart" uri="{C3380CC4-5D6E-409C-BE32-E72D297353CC}">
              <c16:uniqueId val="{00000000-86A6-491F-902C-6A92E39C9587}"/>
            </c:ext>
          </c:extLst>
        </c:ser>
        <c:dLbls>
          <c:showLegendKey val="0"/>
          <c:showVal val="0"/>
          <c:showCatName val="0"/>
          <c:showSerName val="0"/>
          <c:showPercent val="0"/>
          <c:showBubbleSize val="0"/>
        </c:dLbls>
        <c:smooth val="0"/>
        <c:axId val="1812647856"/>
        <c:axId val="1812642864"/>
      </c:lineChart>
      <c:catAx>
        <c:axId val="1812647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2642864"/>
        <c:crosses val="autoZero"/>
        <c:auto val="1"/>
        <c:lblAlgn val="ctr"/>
        <c:lblOffset val="100"/>
        <c:noMultiLvlLbl val="0"/>
      </c:catAx>
      <c:valAx>
        <c:axId val="1812642864"/>
        <c:scaling>
          <c:orientation val="minMax"/>
        </c:scaling>
        <c:delete val="0"/>
        <c:axPos val="l"/>
        <c:majorGridlines>
          <c:spPr>
            <a:ln w="9525" cap="flat" cmpd="sng" algn="ctr">
              <a:solidFill>
                <a:schemeClr val="tx1">
                  <a:lumMod val="15000"/>
                  <a:lumOff val="85000"/>
                </a:schemeClr>
              </a:solidFill>
              <a:round/>
            </a:ln>
            <a:effectLst/>
          </c:spPr>
        </c:majorGridlines>
        <c:numFmt formatCode="[$$-C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2647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[Superstore_Data_.xlsx]Pivot_Analysis!PivotTable5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Pivot_Analysis!$R$3</c:f>
              <c:strCache>
                <c:ptCount val="1"/>
                <c:pt idx="0">
                  <c:v>Total</c:v>
                </c:pt>
              </c:strCache>
            </c:strRef>
          </c:tx>
          <c:spPr>
            <a:solidFill>
              <a:schemeClr val="accent1"/>
            </a:solidFill>
            <a:ln>
              <a:noFill/>
            </a:ln>
            <a:effectLst/>
          </c:spPr>
          <c:invertIfNegative val="0"/>
          <c:cat>
            <c:strRef>
              <c:f>Pivot_Analysis!$Q$4:$Q$13</c:f>
              <c:strCache>
                <c:ptCount val="9"/>
                <c:pt idx="0">
                  <c:v>Bookcases</c:v>
                </c:pt>
                <c:pt idx="1">
                  <c:v>Tables</c:v>
                </c:pt>
                <c:pt idx="2">
                  <c:v>Phones</c:v>
                </c:pt>
                <c:pt idx="3">
                  <c:v>Accessories</c:v>
                </c:pt>
                <c:pt idx="4">
                  <c:v>Chairs</c:v>
                </c:pt>
                <c:pt idx="5">
                  <c:v>Copiers</c:v>
                </c:pt>
                <c:pt idx="6">
                  <c:v>Paper</c:v>
                </c:pt>
                <c:pt idx="7">
                  <c:v>Storage</c:v>
                </c:pt>
                <c:pt idx="8">
                  <c:v>Binders</c:v>
                </c:pt>
              </c:strCache>
            </c:strRef>
          </c:cat>
          <c:val>
            <c:numRef>
              <c:f>Pivot_Analysis!$R$4:$R$13</c:f>
              <c:numCache>
                <c:formatCode>[$$-C09]#,##0.00</c:formatCode>
                <c:ptCount val="9"/>
                <c:pt idx="0">
                  <c:v>11776.27</c:v>
                </c:pt>
                <c:pt idx="1">
                  <c:v>12542.899999999996</c:v>
                </c:pt>
                <c:pt idx="2">
                  <c:v>12570.549999999997</c:v>
                </c:pt>
                <c:pt idx="3">
                  <c:v>12863.249999999996</c:v>
                </c:pt>
                <c:pt idx="4">
                  <c:v>13269.869999999999</c:v>
                </c:pt>
                <c:pt idx="5">
                  <c:v>14722.460000000005</c:v>
                </c:pt>
                <c:pt idx="6">
                  <c:v>20964.439999999999</c:v>
                </c:pt>
                <c:pt idx="7">
                  <c:v>21377.260000000002</c:v>
                </c:pt>
                <c:pt idx="8">
                  <c:v>21912.21</c:v>
                </c:pt>
              </c:numCache>
            </c:numRef>
          </c:val>
          <c:extLst>
            <c:ext xmlns:c16="http://schemas.microsoft.com/office/drawing/2014/chart" uri="{C3380CC4-5D6E-409C-BE32-E72D297353CC}">
              <c16:uniqueId val="{00000000-A1CC-4169-A9A4-D7EBABFD6A51}"/>
            </c:ext>
          </c:extLst>
        </c:ser>
        <c:dLbls>
          <c:showLegendKey val="0"/>
          <c:showVal val="0"/>
          <c:showCatName val="0"/>
          <c:showSerName val="0"/>
          <c:showPercent val="0"/>
          <c:showBubbleSize val="0"/>
        </c:dLbls>
        <c:gapWidth val="182"/>
        <c:axId val="1823179808"/>
        <c:axId val="1823183968"/>
      </c:barChart>
      <c:catAx>
        <c:axId val="1823179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3183968"/>
        <c:crosses val="autoZero"/>
        <c:auto val="1"/>
        <c:lblAlgn val="ctr"/>
        <c:lblOffset val="100"/>
        <c:noMultiLvlLbl val="0"/>
      </c:catAx>
      <c:valAx>
        <c:axId val="1823183968"/>
        <c:scaling>
          <c:orientation val="minMax"/>
        </c:scaling>
        <c:delete val="0"/>
        <c:axPos val="b"/>
        <c:majorGridlines>
          <c:spPr>
            <a:ln w="9525" cap="flat" cmpd="sng" algn="ctr">
              <a:solidFill>
                <a:schemeClr val="tx1">
                  <a:lumMod val="15000"/>
                  <a:lumOff val="85000"/>
                </a:schemeClr>
              </a:solidFill>
              <a:round/>
            </a:ln>
            <a:effectLst/>
          </c:spPr>
        </c:majorGridlines>
        <c:numFmt formatCode="[$$-C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3179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6350</xdr:rowOff>
    </xdr:from>
    <xdr:to>
      <xdr:col>3</xdr:col>
      <xdr:colOff>600075</xdr:colOff>
      <xdr:row>18</xdr:row>
      <xdr:rowOff>95250</xdr:rowOff>
    </xdr:to>
    <xdr:graphicFrame macro="">
      <xdr:nvGraphicFramePr>
        <xdr:cNvPr id="2" name="Chart 1">
          <a:extLst>
            <a:ext uri="{FF2B5EF4-FFF2-40B4-BE49-F238E27FC236}">
              <a16:creationId xmlns:a16="http://schemas.microsoft.com/office/drawing/2014/main" id="{6320678E-1102-4911-B2E4-11DA3EE295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606426</xdr:colOff>
      <xdr:row>9</xdr:row>
      <xdr:rowOff>7937</xdr:rowOff>
    </xdr:from>
    <xdr:to>
      <xdr:col>11</xdr:col>
      <xdr:colOff>561976</xdr:colOff>
      <xdr:row>16</xdr:row>
      <xdr:rowOff>152400</xdr:rowOff>
    </xdr:to>
    <xdr:graphicFrame macro="">
      <xdr:nvGraphicFramePr>
        <xdr:cNvPr id="4" name="Chart 3">
          <a:extLst>
            <a:ext uri="{FF2B5EF4-FFF2-40B4-BE49-F238E27FC236}">
              <a16:creationId xmlns:a16="http://schemas.microsoft.com/office/drawing/2014/main" id="{E9F2A138-F8A7-4349-9E37-0E20884F8A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6350</xdr:colOff>
      <xdr:row>9</xdr:row>
      <xdr:rowOff>11112</xdr:rowOff>
    </xdr:from>
    <xdr:to>
      <xdr:col>7</xdr:col>
      <xdr:colOff>581025</xdr:colOff>
      <xdr:row>17</xdr:row>
      <xdr:rowOff>114300</xdr:rowOff>
    </xdr:to>
    <xdr:graphicFrame macro="">
      <xdr:nvGraphicFramePr>
        <xdr:cNvPr id="5" name="Chart 4">
          <a:extLst>
            <a:ext uri="{FF2B5EF4-FFF2-40B4-BE49-F238E27FC236}">
              <a16:creationId xmlns:a16="http://schemas.microsoft.com/office/drawing/2014/main" id="{2BB37B1E-ECBF-4A6F-82E4-684BD870BD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120650</xdr:colOff>
      <xdr:row>30</xdr:row>
      <xdr:rowOff>96837</xdr:rowOff>
    </xdr:from>
    <xdr:to>
      <xdr:col>15</xdr:col>
      <xdr:colOff>358775</xdr:colOff>
      <xdr:row>45</xdr:row>
      <xdr:rowOff>131762</xdr:rowOff>
    </xdr:to>
    <xdr:graphicFrame macro="">
      <xdr:nvGraphicFramePr>
        <xdr:cNvPr id="6" name="Chart 5">
          <a:extLst>
            <a:ext uri="{FF2B5EF4-FFF2-40B4-BE49-F238E27FC236}">
              <a16:creationId xmlns:a16="http://schemas.microsoft.com/office/drawing/2014/main" id="{E97960CD-A067-4720-97FF-F8A96BC2BD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606425</xdr:colOff>
      <xdr:row>14</xdr:row>
      <xdr:rowOff>11112</xdr:rowOff>
    </xdr:from>
    <xdr:to>
      <xdr:col>23</xdr:col>
      <xdr:colOff>66675</xdr:colOff>
      <xdr:row>27</xdr:row>
      <xdr:rowOff>47625</xdr:rowOff>
    </xdr:to>
    <xdr:graphicFrame macro="">
      <xdr:nvGraphicFramePr>
        <xdr:cNvPr id="7" name="Chart 6">
          <a:extLst>
            <a:ext uri="{FF2B5EF4-FFF2-40B4-BE49-F238E27FC236}">
              <a16:creationId xmlns:a16="http://schemas.microsoft.com/office/drawing/2014/main" id="{C0079DA9-8811-42BD-B94D-1BAAE9F588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6</xdr:row>
      <xdr:rowOff>1587</xdr:rowOff>
    </xdr:from>
    <xdr:to>
      <xdr:col>6</xdr:col>
      <xdr:colOff>9524</xdr:colOff>
      <xdr:row>16</xdr:row>
      <xdr:rowOff>76200</xdr:rowOff>
    </xdr:to>
    <xdr:graphicFrame macro="">
      <xdr:nvGraphicFramePr>
        <xdr:cNvPr id="2" name="Chart 1">
          <a:extLst>
            <a:ext uri="{FF2B5EF4-FFF2-40B4-BE49-F238E27FC236}">
              <a16:creationId xmlns:a16="http://schemas.microsoft.com/office/drawing/2014/main" id="{8F6AC9B8-FF62-454D-A0AC-10187F3C98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16</xdr:row>
      <xdr:rowOff>104775</xdr:rowOff>
    </xdr:from>
    <xdr:to>
      <xdr:col>4</xdr:col>
      <xdr:colOff>514350</xdr:colOff>
      <xdr:row>29</xdr:row>
      <xdr:rowOff>161925</xdr:rowOff>
    </xdr:to>
    <xdr:graphicFrame macro="">
      <xdr:nvGraphicFramePr>
        <xdr:cNvPr id="3" name="Chart 2">
          <a:extLst>
            <a:ext uri="{FF2B5EF4-FFF2-40B4-BE49-F238E27FC236}">
              <a16:creationId xmlns:a16="http://schemas.microsoft.com/office/drawing/2014/main" id="{0FA38D5B-B468-4356-A512-A76A8E895A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114302</xdr:colOff>
      <xdr:row>6</xdr:row>
      <xdr:rowOff>3173</xdr:rowOff>
    </xdr:from>
    <xdr:to>
      <xdr:col>15</xdr:col>
      <xdr:colOff>352426</xdr:colOff>
      <xdr:row>16</xdr:row>
      <xdr:rowOff>152400</xdr:rowOff>
    </xdr:to>
    <xdr:graphicFrame macro="">
      <xdr:nvGraphicFramePr>
        <xdr:cNvPr id="4" name="Chart 3">
          <a:extLst>
            <a:ext uri="{FF2B5EF4-FFF2-40B4-BE49-F238E27FC236}">
              <a16:creationId xmlns:a16="http://schemas.microsoft.com/office/drawing/2014/main" id="{2C5D7974-002B-4262-827C-F09F92251C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244475</xdr:colOff>
      <xdr:row>31</xdr:row>
      <xdr:rowOff>85725</xdr:rowOff>
    </xdr:from>
    <xdr:to>
      <xdr:col>9</xdr:col>
      <xdr:colOff>457200</xdr:colOff>
      <xdr:row>46</xdr:row>
      <xdr:rowOff>57150</xdr:rowOff>
    </xdr:to>
    <xdr:graphicFrame macro="">
      <xdr:nvGraphicFramePr>
        <xdr:cNvPr id="5" name="Chart 4">
          <a:extLst>
            <a:ext uri="{FF2B5EF4-FFF2-40B4-BE49-F238E27FC236}">
              <a16:creationId xmlns:a16="http://schemas.microsoft.com/office/drawing/2014/main" id="{F447B44F-1405-46B0-B0EB-46E2CA3707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50799</xdr:colOff>
      <xdr:row>17</xdr:row>
      <xdr:rowOff>31748</xdr:rowOff>
    </xdr:from>
    <xdr:to>
      <xdr:col>12</xdr:col>
      <xdr:colOff>590549</xdr:colOff>
      <xdr:row>30</xdr:row>
      <xdr:rowOff>57150</xdr:rowOff>
    </xdr:to>
    <xdr:graphicFrame macro="">
      <xdr:nvGraphicFramePr>
        <xdr:cNvPr id="6" name="Chart 5">
          <a:extLst>
            <a:ext uri="{FF2B5EF4-FFF2-40B4-BE49-F238E27FC236}">
              <a16:creationId xmlns:a16="http://schemas.microsoft.com/office/drawing/2014/main" id="{DC5BD300-3F99-4424-A091-28CCE8742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73025</xdr:colOff>
      <xdr:row>36</xdr:row>
      <xdr:rowOff>38100</xdr:rowOff>
    </xdr:from>
    <xdr:to>
      <xdr:col>13</xdr:col>
      <xdr:colOff>85725</xdr:colOff>
      <xdr:row>50</xdr:row>
      <xdr:rowOff>34925</xdr:rowOff>
    </xdr:to>
    <mc:AlternateContent xmlns:mc="http://schemas.openxmlformats.org/markup-compatibility/2006">
      <mc:Choice xmlns:a14="http://schemas.microsoft.com/office/drawing/2010/main" Requires="a14">
        <xdr:graphicFrame macro="">
          <xdr:nvGraphicFramePr>
            <xdr:cNvPr id="7" name="Segment">
              <a:extLst>
                <a:ext uri="{FF2B5EF4-FFF2-40B4-BE49-F238E27FC236}">
                  <a16:creationId xmlns:a16="http://schemas.microsoft.com/office/drawing/2014/main" id="{9853268E-FFBE-42BB-8B1B-E7C8B9A0357B}"/>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6169025" y="6819900"/>
              <a:ext cx="1838325" cy="25304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15875</xdr:colOff>
      <xdr:row>6</xdr:row>
      <xdr:rowOff>0</xdr:rowOff>
    </xdr:from>
    <xdr:to>
      <xdr:col>19</xdr:col>
      <xdr:colOff>15875</xdr:colOff>
      <xdr:row>19</xdr:row>
      <xdr:rowOff>171450</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A02C9D80-0AB6-4861-B685-5894691ACAE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769475" y="13525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225425</xdr:colOff>
      <xdr:row>21</xdr:row>
      <xdr:rowOff>34925</xdr:rowOff>
    </xdr:from>
    <xdr:to>
      <xdr:col>16</xdr:col>
      <xdr:colOff>228600</xdr:colOff>
      <xdr:row>35</xdr:row>
      <xdr:rowOff>25400</xdr:rowOff>
    </xdr:to>
    <mc:AlternateContent xmlns:mc="http://schemas.openxmlformats.org/markup-compatibility/2006">
      <mc:Choice xmlns:a14="http://schemas.microsoft.com/office/drawing/2010/main" Requires="a14">
        <xdr:graphicFrame macro="">
          <xdr:nvGraphicFramePr>
            <xdr:cNvPr id="9" name="Category">
              <a:extLst>
                <a:ext uri="{FF2B5EF4-FFF2-40B4-BE49-F238E27FC236}">
                  <a16:creationId xmlns:a16="http://schemas.microsoft.com/office/drawing/2014/main" id="{BE90A343-6377-4442-A90F-D122A04859A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150225" y="4102100"/>
              <a:ext cx="1831975" cy="2527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ushabh" refreshedDate="46271.986516666664" createdVersion="7" refreshedVersion="7" minRefreshableVersion="3" recordCount="480" xr:uid="{F97A755A-89A3-46B1-AAE6-BAB85C214080}">
  <cacheSource type="worksheet">
    <worksheetSource name="SuperstoreTable"/>
  </cacheSource>
  <cacheFields count="18">
    <cacheField name="Order ID" numFmtId="0">
      <sharedItems/>
    </cacheField>
    <cacheField name="Order Date" numFmtId="14">
      <sharedItems containsSemiMixedTypes="0" containsNonDate="0" containsDate="1" containsString="0" minDate="2024-01-03T00:00:00" maxDate="2026-01-01T00:00:00" count="480">
        <d v="2024-01-03T00:00:00"/>
        <d v="2024-01-04T00:00:00"/>
        <d v="2024-01-06T00:00:00"/>
        <d v="2024-01-07T00:00:00"/>
        <d v="2024-01-09T00:00:00"/>
        <d v="2024-01-10T00:00:00"/>
        <d v="2024-01-12T00:00:00"/>
        <d v="2024-01-13T00:00:00"/>
        <d v="2024-01-15T00:00:00"/>
        <d v="2024-01-16T00:00:00"/>
        <d v="2024-01-18T00:00:00"/>
        <d v="2024-01-19T00:00:00"/>
        <d v="2024-01-21T00:00:00"/>
        <d v="2024-01-22T00:00:00"/>
        <d v="2024-01-24T00:00:00"/>
        <d v="2024-01-25T00:00:00"/>
        <d v="2024-01-27T00:00:00"/>
        <d v="2024-01-28T00:00:00"/>
        <d v="2024-01-30T00:00:00"/>
        <d v="2024-01-31T00:00:00"/>
        <d v="2024-02-02T00:00:00"/>
        <d v="2024-02-03T00:00:00"/>
        <d v="2024-02-05T00:00:00"/>
        <d v="2024-02-06T00:00:00"/>
        <d v="2024-02-08T00:00:00"/>
        <d v="2024-02-09T00:00:00"/>
        <d v="2024-02-11T00:00:00"/>
        <d v="2024-02-13T00:00:00"/>
        <d v="2024-02-14T00:00:00"/>
        <d v="2024-02-16T00:00:00"/>
        <d v="2024-02-17T00:00:00"/>
        <d v="2024-02-19T00:00:00"/>
        <d v="2024-02-20T00:00:00"/>
        <d v="2024-02-22T00:00:00"/>
        <d v="2024-02-23T00:00:00"/>
        <d v="2024-02-25T00:00:00"/>
        <d v="2024-02-26T00:00:00"/>
        <d v="2024-02-28T00:00:00"/>
        <d v="2024-02-29T00:00:00"/>
        <d v="2024-03-02T00:00:00"/>
        <d v="2024-03-03T00:00:00"/>
        <d v="2024-03-05T00:00:00"/>
        <d v="2024-03-06T00:00:00"/>
        <d v="2024-03-08T00:00:00"/>
        <d v="2024-03-09T00:00:00"/>
        <d v="2024-03-11T00:00:00"/>
        <d v="2024-03-12T00:00:00"/>
        <d v="2024-03-14T00:00:00"/>
        <d v="2024-03-15T00:00:00"/>
        <d v="2024-03-17T00:00:00"/>
        <d v="2024-03-18T00:00:00"/>
        <d v="2024-03-20T00:00:00"/>
        <d v="2024-03-22T00:00:00"/>
        <d v="2024-03-23T00:00:00"/>
        <d v="2024-03-25T00:00:00"/>
        <d v="2024-03-26T00:00:00"/>
        <d v="2024-03-28T00:00:00"/>
        <d v="2024-03-29T00:00:00"/>
        <d v="2024-03-31T00:00:00"/>
        <d v="2024-04-01T00:00:00"/>
        <d v="2024-04-03T00:00:00"/>
        <d v="2024-04-04T00:00:00"/>
        <d v="2024-04-06T00:00:00"/>
        <d v="2024-04-07T00:00:00"/>
        <d v="2024-04-09T00:00:00"/>
        <d v="2024-04-10T00:00:00"/>
        <d v="2024-04-12T00:00:00"/>
        <d v="2024-04-13T00:00:00"/>
        <d v="2024-04-15T00:00:00"/>
        <d v="2024-04-16T00:00:00"/>
        <d v="2024-04-18T00:00:00"/>
        <d v="2024-04-19T00:00:00"/>
        <d v="2024-04-21T00:00:00"/>
        <d v="2024-04-22T00:00:00"/>
        <d v="2024-04-24T00:00:00"/>
        <d v="2024-04-25T00:00:00"/>
        <d v="2024-04-27T00:00:00"/>
        <d v="2024-04-29T00:00:00"/>
        <d v="2024-04-30T00:00:00"/>
        <d v="2024-05-02T00:00:00"/>
        <d v="2024-05-03T00:00:00"/>
        <d v="2024-05-05T00:00:00"/>
        <d v="2024-05-06T00:00:00"/>
        <d v="2024-05-08T00:00:00"/>
        <d v="2024-05-09T00:00:00"/>
        <d v="2024-05-11T00:00:00"/>
        <d v="2024-05-12T00:00:00"/>
        <d v="2024-05-14T00:00:00"/>
        <d v="2024-05-15T00:00:00"/>
        <d v="2024-05-17T00:00:00"/>
        <d v="2024-05-18T00:00:00"/>
        <d v="2024-05-20T00:00:00"/>
        <d v="2024-05-21T00:00:00"/>
        <d v="2024-05-23T00:00:00"/>
        <d v="2024-05-24T00:00:00"/>
        <d v="2024-05-26T00:00:00"/>
        <d v="2024-05-27T00:00:00"/>
        <d v="2024-05-29T00:00:00"/>
        <d v="2024-05-30T00:00:00"/>
        <d v="2024-06-01T00:00:00"/>
        <d v="2024-06-02T00:00:00"/>
        <d v="2024-06-04T00:00:00"/>
        <d v="2024-06-06T00:00:00"/>
        <d v="2024-06-07T00:00:00"/>
        <d v="2024-06-09T00:00:00"/>
        <d v="2024-06-10T00:00:00"/>
        <d v="2024-06-12T00:00:00"/>
        <d v="2024-06-13T00:00:00"/>
        <d v="2024-06-15T00:00:00"/>
        <d v="2024-06-16T00:00:00"/>
        <d v="2024-06-18T00:00:00"/>
        <d v="2024-06-19T00:00:00"/>
        <d v="2024-06-21T00:00:00"/>
        <d v="2024-06-22T00:00:00"/>
        <d v="2024-06-24T00:00:00"/>
        <d v="2024-06-25T00:00:00"/>
        <d v="2024-06-27T00:00:00"/>
        <d v="2024-06-28T00:00:00"/>
        <d v="2024-06-30T00:00:00"/>
        <d v="2024-07-01T00:00:00"/>
        <d v="2024-07-03T00:00:00"/>
        <d v="2024-07-04T00:00:00"/>
        <d v="2024-07-06T00:00:00"/>
        <d v="2024-07-07T00:00:00"/>
        <d v="2024-07-09T00:00:00"/>
        <d v="2024-07-10T00:00:00"/>
        <d v="2024-07-12T00:00:00"/>
        <d v="2024-07-14T00:00:00"/>
        <d v="2024-07-15T00:00:00"/>
        <d v="2024-07-17T00:00:00"/>
        <d v="2024-07-18T00:00:00"/>
        <d v="2024-07-20T00:00:00"/>
        <d v="2024-07-21T00:00:00"/>
        <d v="2024-07-23T00:00:00"/>
        <d v="2024-07-24T00:00:00"/>
        <d v="2024-07-26T00:00:00"/>
        <d v="2024-07-27T00:00:00"/>
        <d v="2024-07-29T00:00:00"/>
        <d v="2024-07-30T00:00:00"/>
        <d v="2024-08-01T00:00:00"/>
        <d v="2024-08-02T00:00:00"/>
        <d v="2024-08-04T00:00:00"/>
        <d v="2024-08-05T00:00:00"/>
        <d v="2024-08-07T00:00:00"/>
        <d v="2024-08-08T00:00:00"/>
        <d v="2024-08-10T00:00:00"/>
        <d v="2024-08-11T00:00:00"/>
        <d v="2024-08-13T00:00:00"/>
        <d v="2024-08-14T00:00:00"/>
        <d v="2024-08-16T00:00:00"/>
        <d v="2024-08-17T00:00:00"/>
        <d v="2024-08-19T00:00:00"/>
        <d v="2024-08-21T00:00:00"/>
        <d v="2024-08-22T00:00:00"/>
        <d v="2024-08-24T00:00:00"/>
        <d v="2024-08-25T00:00:00"/>
        <d v="2024-08-27T00:00:00"/>
        <d v="2024-08-28T00:00:00"/>
        <d v="2024-08-30T00:00:00"/>
        <d v="2024-08-31T00:00:00"/>
        <d v="2024-09-02T00:00:00"/>
        <d v="2024-09-03T00:00:00"/>
        <d v="2024-09-05T00:00:00"/>
        <d v="2024-09-06T00:00:00"/>
        <d v="2024-09-08T00:00:00"/>
        <d v="2024-09-09T00:00:00"/>
        <d v="2024-09-11T00:00:00"/>
        <d v="2024-09-12T00:00:00"/>
        <d v="2024-09-14T00:00:00"/>
        <d v="2024-09-15T00:00:00"/>
        <d v="2024-09-17T00:00:00"/>
        <d v="2024-09-18T00:00:00"/>
        <d v="2024-09-20T00:00:00"/>
        <d v="2024-09-21T00:00:00"/>
        <d v="2024-09-23T00:00:00"/>
        <d v="2024-09-24T00:00:00"/>
        <d v="2024-09-26T00:00:00"/>
        <d v="2024-09-28T00:00:00"/>
        <d v="2024-09-29T00:00:00"/>
        <d v="2024-10-01T00:00:00"/>
        <d v="2024-10-02T00:00:00"/>
        <d v="2024-10-04T00:00:00"/>
        <d v="2024-10-05T00:00:00"/>
        <d v="2024-10-07T00:00:00"/>
        <d v="2024-10-08T00:00:00"/>
        <d v="2024-10-10T00:00:00"/>
        <d v="2024-10-11T00:00:00"/>
        <d v="2024-10-13T00:00:00"/>
        <d v="2024-10-14T00:00:00"/>
        <d v="2024-10-16T00:00:00"/>
        <d v="2024-10-17T00:00:00"/>
        <d v="2024-10-19T00:00:00"/>
        <d v="2024-10-20T00:00:00"/>
        <d v="2024-10-22T00:00:00"/>
        <d v="2024-10-23T00:00:00"/>
        <d v="2024-10-25T00:00:00"/>
        <d v="2024-10-26T00:00:00"/>
        <d v="2024-10-28T00:00:00"/>
        <d v="2024-10-29T00:00:00"/>
        <d v="2024-10-31T00:00:00"/>
        <d v="2024-11-01T00:00:00"/>
        <d v="2024-11-03T00:00:00"/>
        <d v="2024-11-05T00:00:00"/>
        <d v="2024-11-06T00:00:00"/>
        <d v="2024-11-08T00:00:00"/>
        <d v="2024-11-09T00:00:00"/>
        <d v="2024-11-11T00:00:00"/>
        <d v="2024-11-12T00:00:00"/>
        <d v="2024-11-14T00:00:00"/>
        <d v="2024-11-15T00:00:00"/>
        <d v="2024-11-17T00:00:00"/>
        <d v="2024-11-18T00:00:00"/>
        <d v="2024-11-20T00:00:00"/>
        <d v="2024-11-21T00:00:00"/>
        <d v="2024-11-23T00:00:00"/>
        <d v="2024-11-24T00:00:00"/>
        <d v="2024-11-26T00:00:00"/>
        <d v="2024-11-27T00:00:00"/>
        <d v="2024-11-29T00:00:00"/>
        <d v="2024-11-30T00:00:00"/>
        <d v="2024-12-02T00:00:00"/>
        <d v="2024-12-03T00:00:00"/>
        <d v="2024-12-05T00:00:00"/>
        <d v="2024-12-06T00:00:00"/>
        <d v="2024-12-08T00:00:00"/>
        <d v="2024-12-09T00:00:00"/>
        <d v="2024-12-11T00:00:00"/>
        <d v="2024-12-13T00:00:00"/>
        <d v="2024-12-14T00:00:00"/>
        <d v="2024-12-16T00:00:00"/>
        <d v="2024-12-17T00:00:00"/>
        <d v="2024-12-19T00:00:00"/>
        <d v="2024-12-20T00:00:00"/>
        <d v="2024-12-22T00:00:00"/>
        <d v="2024-12-23T00:00:00"/>
        <d v="2024-12-25T00:00:00"/>
        <d v="2024-12-26T00:00:00"/>
        <d v="2024-12-28T00:00:00"/>
        <d v="2024-12-29T00:00:00"/>
        <d v="2024-12-31T00:00:00"/>
        <d v="2025-01-01T00:00:00"/>
        <d v="2025-01-03T00:00:00"/>
        <d v="2025-01-04T00:00:00"/>
        <d v="2025-01-06T00:00:00"/>
        <d v="2025-01-07T00:00:00"/>
        <d v="2025-01-09T00:00:00"/>
        <d v="2025-01-10T00:00:00"/>
        <d v="2025-01-12T00:00:00"/>
        <d v="2025-01-13T00:00:00"/>
        <d v="2025-01-15T00:00:00"/>
        <d v="2025-01-16T00:00:00"/>
        <d v="2025-01-18T00:00:00"/>
        <d v="2025-01-19T00:00:00"/>
        <d v="2025-01-21T00:00:00"/>
        <d v="2025-01-23T00:00:00"/>
        <d v="2025-01-24T00:00:00"/>
        <d v="2025-01-26T00:00:00"/>
        <d v="2025-01-27T00:00:00"/>
        <d v="2025-01-29T00:00:00"/>
        <d v="2025-01-30T00:00:00"/>
        <d v="2025-02-01T00:00:00"/>
        <d v="2025-02-02T00:00:00"/>
        <d v="2025-02-04T00:00:00"/>
        <d v="2025-02-05T00:00:00"/>
        <d v="2025-02-07T00:00:00"/>
        <d v="2025-02-08T00:00:00"/>
        <d v="2025-02-10T00:00:00"/>
        <d v="2025-02-11T00:00:00"/>
        <d v="2025-02-13T00:00:00"/>
        <d v="2025-02-14T00:00:00"/>
        <d v="2025-02-16T00:00:00"/>
        <d v="2025-02-17T00:00:00"/>
        <d v="2025-02-19T00:00:00"/>
        <d v="2025-02-20T00:00:00"/>
        <d v="2025-02-22T00:00:00"/>
        <d v="2025-02-23T00:00:00"/>
        <d v="2025-02-25T00:00:00"/>
        <d v="2025-02-26T00:00:00"/>
        <d v="2025-02-28T00:00:00"/>
        <d v="2025-03-02T00:00:00"/>
        <d v="2025-03-03T00:00:00"/>
        <d v="2025-03-05T00:00:00"/>
        <d v="2025-03-06T00:00:00"/>
        <d v="2025-03-08T00:00:00"/>
        <d v="2025-03-09T00:00:00"/>
        <d v="2025-03-11T00:00:00"/>
        <d v="2025-03-12T00:00:00"/>
        <d v="2025-03-14T00:00:00"/>
        <d v="2025-03-15T00:00:00"/>
        <d v="2025-03-17T00:00:00"/>
        <d v="2025-03-18T00:00:00"/>
        <d v="2025-03-20T00:00:00"/>
        <d v="2025-03-21T00:00:00"/>
        <d v="2025-03-23T00:00:00"/>
        <d v="2025-03-24T00:00:00"/>
        <d v="2025-03-26T00:00:00"/>
        <d v="2025-03-27T00:00:00"/>
        <d v="2025-03-29T00:00:00"/>
        <d v="2025-03-30T00:00:00"/>
        <d v="2025-04-01T00:00:00"/>
        <d v="2025-04-02T00:00:00"/>
        <d v="2025-04-04T00:00:00"/>
        <d v="2025-04-05T00:00:00"/>
        <d v="2025-04-07T00:00:00"/>
        <d v="2025-04-09T00:00:00"/>
        <d v="2025-04-10T00:00:00"/>
        <d v="2025-04-12T00:00:00"/>
        <d v="2025-04-13T00:00:00"/>
        <d v="2025-04-15T00:00:00"/>
        <d v="2025-04-16T00:00:00"/>
        <d v="2025-04-18T00:00:00"/>
        <d v="2025-04-19T00:00:00"/>
        <d v="2025-04-21T00:00:00"/>
        <d v="2025-04-22T00:00:00"/>
        <d v="2025-04-24T00:00:00"/>
        <d v="2025-04-25T00:00:00"/>
        <d v="2025-04-27T00:00:00"/>
        <d v="2025-04-28T00:00:00"/>
        <d v="2025-04-30T00:00:00"/>
        <d v="2025-05-01T00:00:00"/>
        <d v="2025-05-03T00:00:00"/>
        <d v="2025-05-04T00:00:00"/>
        <d v="2025-05-06T00:00:00"/>
        <d v="2025-05-07T00:00:00"/>
        <d v="2025-05-09T00:00:00"/>
        <d v="2025-05-10T00:00:00"/>
        <d v="2025-05-12T00:00:00"/>
        <d v="2025-05-13T00:00:00"/>
        <d v="2025-05-15T00:00:00"/>
        <d v="2025-05-17T00:00:00"/>
        <d v="2025-05-18T00:00:00"/>
        <d v="2025-05-20T00:00:00"/>
        <d v="2025-05-21T00:00:00"/>
        <d v="2025-05-23T00:00:00"/>
        <d v="2025-05-24T00:00:00"/>
        <d v="2025-05-26T00:00:00"/>
        <d v="2025-05-27T00:00:00"/>
        <d v="2025-05-29T00:00:00"/>
        <d v="2025-05-30T00:00:00"/>
        <d v="2025-06-01T00:00:00"/>
        <d v="2025-06-02T00:00:00"/>
        <d v="2025-06-04T00:00:00"/>
        <d v="2025-06-05T00:00:00"/>
        <d v="2025-06-07T00:00:00"/>
        <d v="2025-06-08T00:00:00"/>
        <d v="2025-06-10T00:00:00"/>
        <d v="2025-06-11T00:00:00"/>
        <d v="2025-06-13T00:00:00"/>
        <d v="2025-06-14T00:00:00"/>
        <d v="2025-06-16T00:00:00"/>
        <d v="2025-06-17T00:00:00"/>
        <d v="2025-06-19T00:00:00"/>
        <d v="2025-06-20T00:00:00"/>
        <d v="2025-06-22T00:00:00"/>
        <d v="2025-06-24T00:00:00"/>
        <d v="2025-06-25T00:00:00"/>
        <d v="2025-06-27T00:00:00"/>
        <d v="2025-06-28T00:00:00"/>
        <d v="2025-06-30T00:00:00"/>
        <d v="2025-07-01T00:00:00"/>
        <d v="2025-07-03T00:00:00"/>
        <d v="2025-07-04T00:00:00"/>
        <d v="2025-07-06T00:00:00"/>
        <d v="2025-07-07T00:00:00"/>
        <d v="2025-07-09T00:00:00"/>
        <d v="2025-07-10T00:00:00"/>
        <d v="2025-07-12T00:00:00"/>
        <d v="2025-07-13T00:00:00"/>
        <d v="2025-07-15T00:00:00"/>
        <d v="2025-07-16T00:00:00"/>
        <d v="2025-07-18T00:00:00"/>
        <d v="2025-07-19T00:00:00"/>
        <d v="2025-07-21T00:00:00"/>
        <d v="2025-07-22T00:00:00"/>
        <d v="2025-07-24T00:00:00"/>
        <d v="2025-07-25T00:00:00"/>
        <d v="2025-07-27T00:00:00"/>
        <d v="2025-07-28T00:00:00"/>
        <d v="2025-07-30T00:00:00"/>
        <d v="2025-08-01T00:00:00"/>
        <d v="2025-08-02T00:00:00"/>
        <d v="2025-08-04T00:00:00"/>
        <d v="2025-08-05T00:00:00"/>
        <d v="2025-08-07T00:00:00"/>
        <d v="2025-08-08T00:00:00"/>
        <d v="2025-08-10T00:00:00"/>
        <d v="2025-08-11T00:00:00"/>
        <d v="2025-08-13T00:00:00"/>
        <d v="2025-08-14T00:00:00"/>
        <d v="2025-08-16T00:00:00"/>
        <d v="2025-08-17T00:00:00"/>
        <d v="2025-08-19T00:00:00"/>
        <d v="2025-08-20T00:00:00"/>
        <d v="2025-08-22T00:00:00"/>
        <d v="2025-08-23T00:00:00"/>
        <d v="2025-08-25T00:00:00"/>
        <d v="2025-08-26T00:00:00"/>
        <d v="2025-08-28T00:00:00"/>
        <d v="2025-08-29T00:00:00"/>
        <d v="2025-08-31T00:00:00"/>
        <d v="2025-09-01T00:00:00"/>
        <d v="2025-09-03T00:00:00"/>
        <d v="2025-09-04T00:00:00"/>
        <d v="2025-09-06T00:00:00"/>
        <d v="2025-09-08T00:00:00"/>
        <d v="2025-09-09T00:00:00"/>
        <d v="2025-09-11T00:00:00"/>
        <d v="2025-09-12T00:00:00"/>
        <d v="2025-09-14T00:00:00"/>
        <d v="2025-09-15T00:00:00"/>
        <d v="2025-09-17T00:00:00"/>
        <d v="2025-09-18T00:00:00"/>
        <d v="2025-09-20T00:00:00"/>
        <d v="2025-09-21T00:00:00"/>
        <d v="2025-09-23T00:00:00"/>
        <d v="2025-09-24T00:00:00"/>
        <d v="2025-09-26T00:00:00"/>
        <d v="2025-09-27T00:00:00"/>
        <d v="2025-09-29T00:00:00"/>
        <d v="2025-09-30T00:00:00"/>
        <d v="2025-10-02T00:00:00"/>
        <d v="2025-10-03T00:00:00"/>
        <d v="2025-10-05T00:00:00"/>
        <d v="2025-10-06T00:00:00"/>
        <d v="2025-10-08T00:00:00"/>
        <d v="2025-10-09T00:00:00"/>
        <d v="2025-10-11T00:00:00"/>
        <d v="2025-10-12T00:00:00"/>
        <d v="2025-10-14T00:00:00"/>
        <d v="2025-10-16T00:00:00"/>
        <d v="2025-10-17T00:00:00"/>
        <d v="2025-10-19T00:00:00"/>
        <d v="2025-10-20T00:00:00"/>
        <d v="2025-10-22T00:00:00"/>
        <d v="2025-10-23T00:00:00"/>
        <d v="2025-10-25T00:00:00"/>
        <d v="2025-10-26T00:00:00"/>
        <d v="2025-10-28T00:00:00"/>
        <d v="2025-10-29T00:00:00"/>
        <d v="2025-10-31T00:00:00"/>
        <d v="2025-11-01T00:00:00"/>
        <d v="2025-11-03T00:00:00"/>
        <d v="2025-11-04T00:00:00"/>
        <d v="2025-11-06T00:00:00"/>
        <d v="2025-11-07T00:00:00"/>
        <d v="2025-11-09T00:00:00"/>
        <d v="2025-11-10T00:00:00"/>
        <d v="2025-11-12T00:00:00"/>
        <d v="2025-11-13T00:00:00"/>
        <d v="2025-11-15T00:00:00"/>
        <d v="2025-11-16T00:00:00"/>
        <d v="2025-11-18T00:00:00"/>
        <d v="2025-11-19T00:00:00"/>
        <d v="2025-11-21T00:00:00"/>
        <d v="2025-11-23T00:00:00"/>
        <d v="2025-11-24T00:00:00"/>
        <d v="2025-11-26T00:00:00"/>
        <d v="2025-11-27T00:00:00"/>
        <d v="2025-11-29T00:00:00"/>
        <d v="2025-11-30T00:00:00"/>
        <d v="2025-12-02T00:00:00"/>
        <d v="2025-12-03T00:00:00"/>
        <d v="2025-12-05T00:00:00"/>
        <d v="2025-12-06T00:00:00"/>
        <d v="2025-12-08T00:00:00"/>
        <d v="2025-12-09T00:00:00"/>
        <d v="2025-12-11T00:00:00"/>
        <d v="2025-12-12T00:00:00"/>
        <d v="2025-12-14T00:00:00"/>
        <d v="2025-12-15T00:00:00"/>
        <d v="2025-12-17T00:00:00"/>
        <d v="2025-12-18T00:00:00"/>
        <d v="2025-12-20T00:00:00"/>
        <d v="2025-12-21T00:00:00"/>
        <d v="2025-12-23T00:00:00"/>
        <d v="2025-12-24T00:00:00"/>
        <d v="2025-12-26T00:00:00"/>
        <d v="2025-12-27T00:00:00"/>
        <d v="2025-12-29T00:00:00"/>
        <d v="2025-12-31T00:00:00"/>
      </sharedItems>
      <fieldGroup par="17" base="1">
        <rangePr groupBy="months" startDate="2024-01-03T00:00:00" endDate="2026-01-01T00:00:00"/>
        <groupItems count="14">
          <s v="&lt;03-01-2024"/>
          <s v="Jan"/>
          <s v="Feb"/>
          <s v="Mar"/>
          <s v="Apr"/>
          <s v="May"/>
          <s v="Jun"/>
          <s v="Jul"/>
          <s v="Aug"/>
          <s v="Sep"/>
          <s v="Oct"/>
          <s v="Nov"/>
          <s v="Dec"/>
          <s v="&gt;01-01-2026"/>
        </groupItems>
      </fieldGroup>
    </cacheField>
    <cacheField name="Ship Date" numFmtId="14">
      <sharedItems containsSemiMixedTypes="0" containsNonDate="0" containsDate="1" containsString="0" minDate="2024-01-04T00:00:00" maxDate="2026-01-07T00:00:00"/>
    </cacheField>
    <cacheField name="Customer Name" numFmtId="0">
      <sharedItems/>
    </cacheField>
    <cacheField name="Segment" numFmtId="0">
      <sharedItems count="3">
        <s v="Consumer"/>
        <s v="Corporate"/>
        <s v="Home Office"/>
      </sharedItems>
    </cacheField>
    <cacheField name="Region" numFmtId="0">
      <sharedItems count="4">
        <s v="Central"/>
        <s v="North"/>
        <s v="South"/>
        <s v="West"/>
      </sharedItems>
    </cacheField>
    <cacheField name="State" numFmtId="0">
      <sharedItems/>
    </cacheField>
    <cacheField name="Category" numFmtId="0">
      <sharedItems count="3">
        <s v="Furniture"/>
        <s v="Office Supplies"/>
        <s v="Technology"/>
      </sharedItems>
    </cacheField>
    <cacheField name="Sub-Category" numFmtId="0">
      <sharedItems count="9">
        <s v="Bookcases"/>
        <s v="Storage"/>
        <s v="Phones"/>
        <s v="Chairs"/>
        <s v="Binders"/>
        <s v="Copiers"/>
        <s v="Tables"/>
        <s v="Paper"/>
        <s v="Accessories"/>
      </sharedItems>
    </cacheField>
    <cacheField name="Product Name" numFmtId="0">
      <sharedItems/>
    </cacheField>
    <cacheField name="Quantity" numFmtId="0">
      <sharedItems containsSemiMixedTypes="0" containsString="0" containsNumber="1" containsInteger="1" minValue="1" maxValue="8"/>
    </cacheField>
    <cacheField name="Unit Price" numFmtId="0">
      <sharedItems containsSemiMixedTypes="0" containsString="0" containsNumber="1" containsInteger="1" minValue="18" maxValue="794"/>
    </cacheField>
    <cacheField name="Discount" numFmtId="0">
      <sharedItems containsSemiMixedTypes="0" containsString="0" containsNumber="1" minValue="0" maxValue="0.2"/>
    </cacheField>
    <cacheField name="Sales" numFmtId="0">
      <sharedItems containsSemiMixedTypes="0" containsString="0" containsNumber="1" minValue="18" maxValue="5896"/>
    </cacheField>
    <cacheField name="Profit" numFmtId="0">
      <sharedItems containsSemiMixedTypes="0" containsString="0" containsNumber="1" minValue="-487.2" maxValue="1709.84"/>
    </cacheField>
    <cacheField name="Ship Mode" numFmtId="0">
      <sharedItems/>
    </cacheField>
    <cacheField name="Regional Manager" numFmtId="0">
      <sharedItems/>
    </cacheField>
    <cacheField name="Years" numFmtId="0" databaseField="0">
      <fieldGroup base="1">
        <rangePr groupBy="years" startDate="2024-01-03T00:00:00" endDate="2026-01-01T00:00:00"/>
        <groupItems count="5">
          <s v="&lt;03-01-2024"/>
          <s v="2024"/>
          <s v="2025"/>
          <s v="2026"/>
          <s v="&gt;01-01-2026"/>
        </groupItems>
      </fieldGroup>
    </cacheField>
  </cacheFields>
  <extLst>
    <ext xmlns:x14="http://schemas.microsoft.com/office/spreadsheetml/2009/9/main" uri="{725AE2AE-9491-48be-B2B4-4EB974FC3084}">
      <x14:pivotCacheDefinition pivotCacheId="11298578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0">
  <r>
    <s v="ORD-10001"/>
    <x v="0"/>
    <d v="2024-01-04T00:00:00"/>
    <s v="Customer 001"/>
    <x v="0"/>
    <x v="0"/>
    <s v="South Australia"/>
    <x v="0"/>
    <x v="0"/>
    <s v="Product Bookcases 1"/>
    <n v="1"/>
    <n v="18"/>
    <n v="0"/>
    <n v="18"/>
    <n v="-1.8"/>
    <s v="Standard Class"/>
    <s v="Ava Williams"/>
  </r>
  <r>
    <s v="ORD-10002"/>
    <x v="1"/>
    <d v="2024-01-08T00:00:00"/>
    <s v="Customer 024"/>
    <x v="1"/>
    <x v="1"/>
    <s v="Northern Territory"/>
    <x v="1"/>
    <x v="1"/>
    <s v="Product Storage 2"/>
    <n v="4"/>
    <n v="65"/>
    <n v="0"/>
    <n v="260"/>
    <n v="75.400000000000006"/>
    <s v="Second Class"/>
    <s v="Noah Brown"/>
  </r>
  <r>
    <s v="ORD-10003"/>
    <x v="2"/>
    <d v="2024-01-13T00:00:00"/>
    <s v="Customer 047"/>
    <x v="2"/>
    <x v="2"/>
    <s v="Tasmania"/>
    <x v="2"/>
    <x v="2"/>
    <s v="Product Phones 3"/>
    <n v="7"/>
    <n v="112"/>
    <n v="0.05"/>
    <n v="744.8"/>
    <n v="163.11000000000001"/>
    <s v="First Class"/>
    <s v="Mia Taylor"/>
  </r>
  <r>
    <s v="ORD-10004"/>
    <x v="3"/>
    <d v="2024-01-09T00:00:00"/>
    <s v="Customer 070"/>
    <x v="0"/>
    <x v="3"/>
    <s v="Western Australia"/>
    <x v="0"/>
    <x v="0"/>
    <s v="Product Bookcases 4"/>
    <n v="2"/>
    <n v="159"/>
    <n v="0.1"/>
    <n v="286.2"/>
    <n v="33.770000000000003"/>
    <s v="Same Day"/>
    <s v="Liam Wilson"/>
  </r>
  <r>
    <s v="ORD-10005"/>
    <x v="4"/>
    <d v="2024-01-14T00:00:00"/>
    <s v="Customer 093"/>
    <x v="1"/>
    <x v="0"/>
    <s v="Victoria"/>
    <x v="1"/>
    <x v="1"/>
    <s v="Product Storage 5"/>
    <n v="5"/>
    <n v="206"/>
    <n v="0.15"/>
    <n v="875.5"/>
    <n v="172.47"/>
    <s v="Standard Class"/>
    <s v="Ava Williams"/>
  </r>
  <r>
    <s v="ORD-10006"/>
    <x v="5"/>
    <d v="2024-01-18T00:00:00"/>
    <s v="Customer 020"/>
    <x v="2"/>
    <x v="1"/>
    <s v="Queensland"/>
    <x v="2"/>
    <x v="2"/>
    <s v="Product Phones 6"/>
    <n v="8"/>
    <n v="253"/>
    <n v="0.2"/>
    <n v="1619.2"/>
    <n v="204.02"/>
    <s v="Second Class"/>
    <s v="Noah Brown"/>
  </r>
  <r>
    <s v="ORD-10007"/>
    <x v="6"/>
    <d v="2024-01-15T00:00:00"/>
    <s v="Customer 043"/>
    <x v="0"/>
    <x v="2"/>
    <s v="New South Wales"/>
    <x v="0"/>
    <x v="0"/>
    <s v="Product Bookcases 7"/>
    <n v="3"/>
    <n v="300"/>
    <n v="0"/>
    <n v="900"/>
    <n v="162"/>
    <s v="First Class"/>
    <s v="Mia Taylor"/>
  </r>
  <r>
    <s v="ORD-10008"/>
    <x v="7"/>
    <d v="2024-01-19T00:00:00"/>
    <s v="Customer 066"/>
    <x v="1"/>
    <x v="3"/>
    <s v="Australian Capital Territory"/>
    <x v="1"/>
    <x v="1"/>
    <s v="Product Storage 8"/>
    <n v="6"/>
    <n v="347"/>
    <n v="0"/>
    <n v="2082"/>
    <n v="603.78"/>
    <s v="Same Day"/>
    <s v="Liam Wilson"/>
  </r>
  <r>
    <s v="ORD-10009"/>
    <x v="8"/>
    <d v="2024-01-16T00:00:00"/>
    <s v="Customer 089"/>
    <x v="2"/>
    <x v="0"/>
    <s v="South Australia"/>
    <x v="2"/>
    <x v="2"/>
    <s v="Product Phones 9"/>
    <n v="1"/>
    <n v="394"/>
    <n v="0.05"/>
    <n v="374.3"/>
    <n v="81.97"/>
    <s v="Standard Class"/>
    <s v="Ava Williams"/>
  </r>
  <r>
    <s v="ORD-10010"/>
    <x v="9"/>
    <d v="2024-01-20T00:00:00"/>
    <s v="Customer 016"/>
    <x v="0"/>
    <x v="1"/>
    <s v="Northern Territory"/>
    <x v="0"/>
    <x v="3"/>
    <s v="Product Chairs 10"/>
    <n v="4"/>
    <n v="441"/>
    <n v="0.1"/>
    <n v="1587.6"/>
    <n v="187.34"/>
    <s v="Second Class"/>
    <s v="Noah Brown"/>
  </r>
  <r>
    <s v="ORD-10011"/>
    <x v="10"/>
    <d v="2024-01-25T00:00:00"/>
    <s v="Customer 039"/>
    <x v="1"/>
    <x v="2"/>
    <s v="Tasmania"/>
    <x v="1"/>
    <x v="4"/>
    <s v="Product Binders 11"/>
    <n v="7"/>
    <n v="488"/>
    <n v="0.15"/>
    <n v="2903.6"/>
    <n v="572.01"/>
    <s v="First Class"/>
    <s v="Mia Taylor"/>
  </r>
  <r>
    <s v="ORD-10012"/>
    <x v="11"/>
    <d v="2024-01-21T00:00:00"/>
    <s v="Customer 062"/>
    <x v="2"/>
    <x v="3"/>
    <s v="Western Australia"/>
    <x v="2"/>
    <x v="5"/>
    <s v="Product Copiers 12"/>
    <n v="2"/>
    <n v="535"/>
    <n v="0.2"/>
    <n v="856"/>
    <n v="107.86"/>
    <s v="Same Day"/>
    <s v="Liam Wilson"/>
  </r>
  <r>
    <s v="ORD-10013"/>
    <x v="12"/>
    <d v="2024-01-26T00:00:00"/>
    <s v="Customer 085"/>
    <x v="0"/>
    <x v="0"/>
    <s v="Victoria"/>
    <x v="0"/>
    <x v="3"/>
    <s v="Product Chairs 1"/>
    <n v="5"/>
    <n v="582"/>
    <n v="0"/>
    <n v="2910"/>
    <n v="523.79999999999995"/>
    <s v="Standard Class"/>
    <s v="Ava Williams"/>
  </r>
  <r>
    <s v="ORD-10014"/>
    <x v="13"/>
    <d v="2024-01-30T00:00:00"/>
    <s v="Customer 012"/>
    <x v="1"/>
    <x v="1"/>
    <s v="Queensland"/>
    <x v="1"/>
    <x v="4"/>
    <s v="Product Binders 2"/>
    <n v="8"/>
    <n v="629"/>
    <n v="0"/>
    <n v="5032"/>
    <n v="1459.28"/>
    <s v="Second Class"/>
    <s v="Noah Brown"/>
  </r>
  <r>
    <s v="ORD-10015"/>
    <x v="14"/>
    <d v="2024-01-27T00:00:00"/>
    <s v="Customer 035"/>
    <x v="2"/>
    <x v="2"/>
    <s v="New South Wales"/>
    <x v="2"/>
    <x v="5"/>
    <s v="Product Copiers 3"/>
    <n v="3"/>
    <n v="676"/>
    <n v="0.05"/>
    <n v="1926.6"/>
    <n v="421.93"/>
    <s v="First Class"/>
    <s v="Mia Taylor"/>
  </r>
  <r>
    <s v="ORD-10016"/>
    <x v="15"/>
    <d v="2024-01-31T00:00:00"/>
    <s v="Customer 058"/>
    <x v="0"/>
    <x v="3"/>
    <s v="Australian Capital Territory"/>
    <x v="0"/>
    <x v="3"/>
    <s v="Product Chairs 4"/>
    <n v="6"/>
    <n v="723"/>
    <n v="0.1"/>
    <n v="3904.2"/>
    <n v="460.7"/>
    <s v="Same Day"/>
    <s v="Liam Wilson"/>
  </r>
  <r>
    <s v="ORD-10017"/>
    <x v="16"/>
    <d v="2024-01-28T00:00:00"/>
    <s v="Customer 081"/>
    <x v="1"/>
    <x v="0"/>
    <s v="South Australia"/>
    <x v="1"/>
    <x v="4"/>
    <s v="Product Binders 5"/>
    <n v="1"/>
    <n v="770"/>
    <n v="0.15"/>
    <n v="654.5"/>
    <n v="128.94"/>
    <s v="Standard Class"/>
    <s v="Ava Williams"/>
  </r>
  <r>
    <s v="ORD-10018"/>
    <x v="17"/>
    <d v="2024-02-01T00:00:00"/>
    <s v="Customer 008"/>
    <x v="2"/>
    <x v="1"/>
    <s v="Northern Territory"/>
    <x v="2"/>
    <x v="5"/>
    <s v="Product Copiers 6"/>
    <n v="4"/>
    <n v="37"/>
    <n v="0.2"/>
    <n v="118.4"/>
    <n v="14.92"/>
    <s v="Second Class"/>
    <s v="Noah Brown"/>
  </r>
  <r>
    <s v="ORD-10019"/>
    <x v="18"/>
    <d v="2024-02-06T00:00:00"/>
    <s v="Customer 031"/>
    <x v="0"/>
    <x v="2"/>
    <s v="Tasmania"/>
    <x v="0"/>
    <x v="6"/>
    <s v="Product Tables 7"/>
    <n v="7"/>
    <n v="84"/>
    <n v="0"/>
    <n v="588"/>
    <n v="105.84"/>
    <s v="First Class"/>
    <s v="Mia Taylor"/>
  </r>
  <r>
    <s v="ORD-10020"/>
    <x v="19"/>
    <d v="2024-02-02T00:00:00"/>
    <s v="Customer 054"/>
    <x v="1"/>
    <x v="3"/>
    <s v="Western Australia"/>
    <x v="1"/>
    <x v="7"/>
    <s v="Product Paper 8"/>
    <n v="2"/>
    <n v="131"/>
    <n v="0"/>
    <n v="262"/>
    <n v="2.62"/>
    <s v="Same Day"/>
    <s v="Liam Wilson"/>
  </r>
  <r>
    <s v="ORD-10021"/>
    <x v="20"/>
    <d v="2024-02-07T00:00:00"/>
    <s v="Customer 077"/>
    <x v="2"/>
    <x v="0"/>
    <s v="Victoria"/>
    <x v="2"/>
    <x v="8"/>
    <s v="Product Accessories 9"/>
    <n v="5"/>
    <n v="178"/>
    <n v="0.05"/>
    <n v="845.5"/>
    <n v="185.16"/>
    <s v="Standard Class"/>
    <s v="Ava Williams"/>
  </r>
  <r>
    <s v="ORD-10022"/>
    <x v="21"/>
    <d v="2024-02-11T00:00:00"/>
    <s v="Customer 004"/>
    <x v="0"/>
    <x v="1"/>
    <s v="Queensland"/>
    <x v="0"/>
    <x v="6"/>
    <s v="Product Tables 10"/>
    <n v="8"/>
    <n v="225"/>
    <n v="0.1"/>
    <n v="1620"/>
    <n v="191.16"/>
    <s v="Second Class"/>
    <s v="Noah Brown"/>
  </r>
  <r>
    <s v="ORD-10023"/>
    <x v="22"/>
    <d v="2024-02-08T00:00:00"/>
    <s v="Customer 027"/>
    <x v="1"/>
    <x v="2"/>
    <s v="New South Wales"/>
    <x v="1"/>
    <x v="7"/>
    <s v="Product Paper 11"/>
    <n v="3"/>
    <n v="272"/>
    <n v="0.15"/>
    <n v="693.6"/>
    <n v="136.63999999999999"/>
    <s v="First Class"/>
    <s v="Mia Taylor"/>
  </r>
  <r>
    <s v="ORD-10024"/>
    <x v="23"/>
    <d v="2024-02-12T00:00:00"/>
    <s v="Customer 050"/>
    <x v="2"/>
    <x v="3"/>
    <s v="Australian Capital Territory"/>
    <x v="2"/>
    <x v="8"/>
    <s v="Product Accessories 12"/>
    <n v="6"/>
    <n v="319"/>
    <n v="0.2"/>
    <n v="1531.2"/>
    <n v="192.93"/>
    <s v="Same Day"/>
    <s v="Liam Wilson"/>
  </r>
  <r>
    <s v="ORD-10025"/>
    <x v="24"/>
    <d v="2024-02-09T00:00:00"/>
    <s v="Customer 073"/>
    <x v="0"/>
    <x v="0"/>
    <s v="South Australia"/>
    <x v="0"/>
    <x v="6"/>
    <s v="Product Tables 1"/>
    <n v="1"/>
    <n v="366"/>
    <n v="0"/>
    <n v="366"/>
    <n v="65.88"/>
    <s v="Standard Class"/>
    <s v="Ava Williams"/>
  </r>
  <r>
    <s v="ORD-10026"/>
    <x v="25"/>
    <d v="2024-02-13T00:00:00"/>
    <s v="Customer 096"/>
    <x v="1"/>
    <x v="1"/>
    <s v="Northern Territory"/>
    <x v="1"/>
    <x v="7"/>
    <s v="Product Paper 2"/>
    <n v="4"/>
    <n v="413"/>
    <n v="0"/>
    <n v="1652"/>
    <n v="479.08"/>
    <s v="Second Class"/>
    <s v="Noah Brown"/>
  </r>
  <r>
    <s v="ORD-10027"/>
    <x v="26"/>
    <d v="2024-02-18T00:00:00"/>
    <s v="Customer 023"/>
    <x v="2"/>
    <x v="2"/>
    <s v="Tasmania"/>
    <x v="2"/>
    <x v="8"/>
    <s v="Product Accessories 3"/>
    <n v="7"/>
    <n v="460"/>
    <n v="0.05"/>
    <n v="3059"/>
    <n v="669.92"/>
    <s v="First Class"/>
    <s v="Mia Taylor"/>
  </r>
  <r>
    <s v="ORD-10028"/>
    <x v="27"/>
    <d v="2024-02-15T00:00:00"/>
    <s v="Customer 046"/>
    <x v="0"/>
    <x v="3"/>
    <s v="Western Australia"/>
    <x v="0"/>
    <x v="0"/>
    <s v="Product Bookcases 4"/>
    <n v="2"/>
    <n v="507"/>
    <n v="0.1"/>
    <n v="912.6"/>
    <n v="107.69"/>
    <s v="Same Day"/>
    <s v="Liam Wilson"/>
  </r>
  <r>
    <s v="ORD-10029"/>
    <x v="28"/>
    <d v="2024-02-19T00:00:00"/>
    <s v="Customer 069"/>
    <x v="1"/>
    <x v="0"/>
    <s v="Victoria"/>
    <x v="1"/>
    <x v="1"/>
    <s v="Product Storage 5"/>
    <n v="5"/>
    <n v="554"/>
    <n v="0.15"/>
    <n v="2354.5"/>
    <n v="463.84"/>
    <s v="Standard Class"/>
    <s v="Ava Williams"/>
  </r>
  <r>
    <s v="ORD-10030"/>
    <x v="29"/>
    <d v="2024-02-24T00:00:00"/>
    <s v="Customer 092"/>
    <x v="2"/>
    <x v="1"/>
    <s v="Queensland"/>
    <x v="2"/>
    <x v="2"/>
    <s v="Product Phones 6"/>
    <n v="8"/>
    <n v="601"/>
    <n v="0.2"/>
    <n v="3846.4"/>
    <n v="484.65"/>
    <s v="Second Class"/>
    <s v="Noah Brown"/>
  </r>
  <r>
    <s v="ORD-10031"/>
    <x v="30"/>
    <d v="2024-02-20T00:00:00"/>
    <s v="Customer 019"/>
    <x v="0"/>
    <x v="2"/>
    <s v="New South Wales"/>
    <x v="0"/>
    <x v="0"/>
    <s v="Product Bookcases 7"/>
    <n v="3"/>
    <n v="648"/>
    <n v="0"/>
    <n v="1944"/>
    <n v="349.92"/>
    <s v="First Class"/>
    <s v="Mia Taylor"/>
  </r>
  <r>
    <s v="ORD-10032"/>
    <x v="31"/>
    <d v="2024-02-25T00:00:00"/>
    <s v="Customer 042"/>
    <x v="1"/>
    <x v="3"/>
    <s v="Australian Capital Territory"/>
    <x v="1"/>
    <x v="1"/>
    <s v="Product Storage 8"/>
    <n v="6"/>
    <n v="695"/>
    <n v="0"/>
    <n v="4170"/>
    <n v="1209.3"/>
    <s v="Same Day"/>
    <s v="Liam Wilson"/>
  </r>
  <r>
    <s v="ORD-10033"/>
    <x v="32"/>
    <d v="2024-02-21T00:00:00"/>
    <s v="Customer 065"/>
    <x v="2"/>
    <x v="0"/>
    <s v="South Australia"/>
    <x v="2"/>
    <x v="2"/>
    <s v="Product Phones 9"/>
    <n v="1"/>
    <n v="742"/>
    <n v="0.05"/>
    <n v="704.9"/>
    <n v="154.37"/>
    <s v="Standard Class"/>
    <s v="Ava Williams"/>
  </r>
  <r>
    <s v="ORD-10034"/>
    <x v="33"/>
    <d v="2024-02-26T00:00:00"/>
    <s v="Customer 088"/>
    <x v="0"/>
    <x v="1"/>
    <s v="Northern Territory"/>
    <x v="0"/>
    <x v="0"/>
    <s v="Product Bookcases 10"/>
    <n v="4"/>
    <n v="789"/>
    <n v="0.1"/>
    <n v="2840.4"/>
    <n v="335.17"/>
    <s v="Second Class"/>
    <s v="Noah Brown"/>
  </r>
  <r>
    <s v="ORD-10035"/>
    <x v="34"/>
    <d v="2024-03-01T00:00:00"/>
    <s v="Customer 015"/>
    <x v="1"/>
    <x v="2"/>
    <s v="Tasmania"/>
    <x v="1"/>
    <x v="1"/>
    <s v="Product Storage 11"/>
    <n v="7"/>
    <n v="56"/>
    <n v="0.15"/>
    <n v="333.2"/>
    <n v="65.64"/>
    <s v="First Class"/>
    <s v="Mia Taylor"/>
  </r>
  <r>
    <s v="ORD-10036"/>
    <x v="35"/>
    <d v="2024-02-27T00:00:00"/>
    <s v="Customer 038"/>
    <x v="2"/>
    <x v="3"/>
    <s v="Western Australia"/>
    <x v="2"/>
    <x v="2"/>
    <s v="Product Phones 12"/>
    <n v="2"/>
    <n v="103"/>
    <n v="0.2"/>
    <n v="164.8"/>
    <n v="20.76"/>
    <s v="Same Day"/>
    <s v="Liam Wilson"/>
  </r>
  <r>
    <s v="ORD-10037"/>
    <x v="36"/>
    <d v="2024-03-02T00:00:00"/>
    <s v="Customer 061"/>
    <x v="0"/>
    <x v="0"/>
    <s v="Victoria"/>
    <x v="0"/>
    <x v="3"/>
    <s v="Product Chairs 1"/>
    <n v="5"/>
    <n v="150"/>
    <n v="0"/>
    <n v="750"/>
    <n v="135"/>
    <s v="Standard Class"/>
    <s v="Ava Williams"/>
  </r>
  <r>
    <s v="ORD-10038"/>
    <x v="37"/>
    <d v="2024-03-07T00:00:00"/>
    <s v="Customer 084"/>
    <x v="1"/>
    <x v="1"/>
    <s v="Queensland"/>
    <x v="1"/>
    <x v="4"/>
    <s v="Product Binders 2"/>
    <n v="8"/>
    <n v="197"/>
    <n v="0"/>
    <n v="1576"/>
    <n v="457.04"/>
    <s v="Second Class"/>
    <s v="Noah Brown"/>
  </r>
  <r>
    <s v="ORD-10039"/>
    <x v="38"/>
    <d v="2024-03-03T00:00:00"/>
    <s v="Customer 011"/>
    <x v="2"/>
    <x v="2"/>
    <s v="New South Wales"/>
    <x v="2"/>
    <x v="5"/>
    <s v="Product Copiers 3"/>
    <n v="3"/>
    <n v="244"/>
    <n v="0.05"/>
    <n v="695.4"/>
    <n v="-42.42"/>
    <s v="First Class"/>
    <s v="Mia Taylor"/>
  </r>
  <r>
    <s v="ORD-10040"/>
    <x v="39"/>
    <d v="2024-03-08T00:00:00"/>
    <s v="Customer 034"/>
    <x v="0"/>
    <x v="3"/>
    <s v="Australian Capital Territory"/>
    <x v="0"/>
    <x v="3"/>
    <s v="Product Chairs 4"/>
    <n v="6"/>
    <n v="291"/>
    <n v="0.1"/>
    <n v="1571.4"/>
    <n v="185.43"/>
    <s v="Same Day"/>
    <s v="Liam Wilson"/>
  </r>
  <r>
    <s v="ORD-10041"/>
    <x v="40"/>
    <d v="2024-03-04T00:00:00"/>
    <s v="Customer 057"/>
    <x v="1"/>
    <x v="0"/>
    <s v="South Australia"/>
    <x v="1"/>
    <x v="4"/>
    <s v="Product Binders 5"/>
    <n v="1"/>
    <n v="338"/>
    <n v="0.15"/>
    <n v="287.3"/>
    <n v="56.6"/>
    <s v="Standard Class"/>
    <s v="Ava Williams"/>
  </r>
  <r>
    <s v="ORD-10042"/>
    <x v="41"/>
    <d v="2024-03-09T00:00:00"/>
    <s v="Customer 080"/>
    <x v="2"/>
    <x v="1"/>
    <s v="Northern Territory"/>
    <x v="2"/>
    <x v="5"/>
    <s v="Product Copiers 6"/>
    <n v="4"/>
    <n v="385"/>
    <n v="0.2"/>
    <n v="1232"/>
    <n v="155.22999999999999"/>
    <s v="Second Class"/>
    <s v="Noah Brown"/>
  </r>
  <r>
    <s v="ORD-10043"/>
    <x v="42"/>
    <d v="2024-03-13T00:00:00"/>
    <s v="Customer 007"/>
    <x v="0"/>
    <x v="2"/>
    <s v="Tasmania"/>
    <x v="0"/>
    <x v="3"/>
    <s v="Product Chairs 7"/>
    <n v="7"/>
    <n v="432"/>
    <n v="0"/>
    <n v="3024"/>
    <n v="544.32000000000005"/>
    <s v="First Class"/>
    <s v="Mia Taylor"/>
  </r>
  <r>
    <s v="ORD-10044"/>
    <x v="43"/>
    <d v="2024-03-10T00:00:00"/>
    <s v="Customer 030"/>
    <x v="1"/>
    <x v="3"/>
    <s v="Western Australia"/>
    <x v="1"/>
    <x v="4"/>
    <s v="Product Binders 8"/>
    <n v="2"/>
    <n v="479"/>
    <n v="0"/>
    <n v="958"/>
    <n v="277.82"/>
    <s v="Same Day"/>
    <s v="Liam Wilson"/>
  </r>
  <r>
    <s v="ORD-10045"/>
    <x v="44"/>
    <d v="2024-03-14T00:00:00"/>
    <s v="Customer 053"/>
    <x v="2"/>
    <x v="0"/>
    <s v="Victoria"/>
    <x v="2"/>
    <x v="5"/>
    <s v="Product Copiers 9"/>
    <n v="5"/>
    <n v="526"/>
    <n v="0.05"/>
    <n v="2498.5"/>
    <n v="547.16999999999996"/>
    <s v="Standard Class"/>
    <s v="Ava Williams"/>
  </r>
  <r>
    <s v="ORD-10046"/>
    <x v="45"/>
    <d v="2024-03-19T00:00:00"/>
    <s v="Customer 076"/>
    <x v="0"/>
    <x v="1"/>
    <s v="Queensland"/>
    <x v="0"/>
    <x v="6"/>
    <s v="Product Tables 10"/>
    <n v="8"/>
    <n v="573"/>
    <n v="0.1"/>
    <n v="4125.6000000000004"/>
    <n v="486.82"/>
    <s v="Second Class"/>
    <s v="Noah Brown"/>
  </r>
  <r>
    <s v="ORD-10047"/>
    <x v="46"/>
    <d v="2024-03-15T00:00:00"/>
    <s v="Customer 003"/>
    <x v="1"/>
    <x v="2"/>
    <s v="New South Wales"/>
    <x v="1"/>
    <x v="7"/>
    <s v="Product Paper 11"/>
    <n v="3"/>
    <n v="620"/>
    <n v="0.15"/>
    <n v="1581"/>
    <n v="311.45999999999998"/>
    <s v="First Class"/>
    <s v="Mia Taylor"/>
  </r>
  <r>
    <s v="ORD-10048"/>
    <x v="47"/>
    <d v="2024-03-20T00:00:00"/>
    <s v="Customer 026"/>
    <x v="2"/>
    <x v="3"/>
    <s v="Australian Capital Territory"/>
    <x v="2"/>
    <x v="8"/>
    <s v="Product Accessories 12"/>
    <n v="6"/>
    <n v="667"/>
    <n v="0.2"/>
    <n v="3201.6"/>
    <n v="403.4"/>
    <s v="Same Day"/>
    <s v="Liam Wilson"/>
  </r>
  <r>
    <s v="ORD-10049"/>
    <x v="48"/>
    <d v="2024-03-16T00:00:00"/>
    <s v="Customer 049"/>
    <x v="0"/>
    <x v="0"/>
    <s v="South Australia"/>
    <x v="0"/>
    <x v="6"/>
    <s v="Product Tables 1"/>
    <n v="1"/>
    <n v="714"/>
    <n v="0"/>
    <n v="714"/>
    <n v="128.52000000000001"/>
    <s v="Standard Class"/>
    <s v="Ava Williams"/>
  </r>
  <r>
    <s v="ORD-10050"/>
    <x v="49"/>
    <d v="2024-03-21T00:00:00"/>
    <s v="Customer 072"/>
    <x v="1"/>
    <x v="1"/>
    <s v="Northern Territory"/>
    <x v="1"/>
    <x v="7"/>
    <s v="Product Paper 2"/>
    <n v="4"/>
    <n v="761"/>
    <n v="0"/>
    <n v="3044"/>
    <n v="882.76"/>
    <s v="Second Class"/>
    <s v="Noah Brown"/>
  </r>
  <r>
    <s v="ORD-10051"/>
    <x v="50"/>
    <d v="2024-03-25T00:00:00"/>
    <s v="Customer 095"/>
    <x v="2"/>
    <x v="2"/>
    <s v="Tasmania"/>
    <x v="2"/>
    <x v="8"/>
    <s v="Product Accessories 3"/>
    <n v="7"/>
    <n v="28"/>
    <n v="0.05"/>
    <n v="186.2"/>
    <n v="40.78"/>
    <s v="First Class"/>
    <s v="Mia Taylor"/>
  </r>
  <r>
    <s v="ORD-10052"/>
    <x v="51"/>
    <d v="2024-03-22T00:00:00"/>
    <s v="Customer 022"/>
    <x v="0"/>
    <x v="3"/>
    <s v="Western Australia"/>
    <x v="0"/>
    <x v="6"/>
    <s v="Product Tables 4"/>
    <n v="2"/>
    <n v="75"/>
    <n v="0.1"/>
    <n v="135"/>
    <n v="15.93"/>
    <s v="Same Day"/>
    <s v="Liam Wilson"/>
  </r>
  <r>
    <s v="ORD-10053"/>
    <x v="52"/>
    <d v="2024-03-27T00:00:00"/>
    <s v="Customer 045"/>
    <x v="1"/>
    <x v="0"/>
    <s v="Victoria"/>
    <x v="1"/>
    <x v="7"/>
    <s v="Product Paper 5"/>
    <n v="5"/>
    <n v="122"/>
    <n v="0.15"/>
    <n v="518.5"/>
    <n v="102.14"/>
    <s v="Standard Class"/>
    <s v="Ava Williams"/>
  </r>
  <r>
    <s v="ORD-10054"/>
    <x v="53"/>
    <d v="2024-03-31T00:00:00"/>
    <s v="Customer 068"/>
    <x v="2"/>
    <x v="1"/>
    <s v="Queensland"/>
    <x v="2"/>
    <x v="8"/>
    <s v="Product Accessories 6"/>
    <n v="8"/>
    <n v="169"/>
    <n v="0.2"/>
    <n v="1081.5999999999999"/>
    <n v="136.28"/>
    <s v="Second Class"/>
    <s v="Noah Brown"/>
  </r>
  <r>
    <s v="ORD-10055"/>
    <x v="54"/>
    <d v="2024-03-28T00:00:00"/>
    <s v="Customer 091"/>
    <x v="0"/>
    <x v="2"/>
    <s v="New South Wales"/>
    <x v="0"/>
    <x v="0"/>
    <s v="Product Bookcases 7"/>
    <n v="3"/>
    <n v="216"/>
    <n v="0"/>
    <n v="648"/>
    <n v="116.64"/>
    <s v="First Class"/>
    <s v="Mia Taylor"/>
  </r>
  <r>
    <s v="ORD-10056"/>
    <x v="55"/>
    <d v="2024-04-01T00:00:00"/>
    <s v="Customer 018"/>
    <x v="1"/>
    <x v="3"/>
    <s v="Australian Capital Territory"/>
    <x v="1"/>
    <x v="1"/>
    <s v="Product Storage 8"/>
    <n v="6"/>
    <n v="263"/>
    <n v="0"/>
    <n v="1578"/>
    <n v="457.62"/>
    <s v="Same Day"/>
    <s v="Liam Wilson"/>
  </r>
  <r>
    <s v="ORD-10057"/>
    <x v="56"/>
    <d v="2024-03-29T00:00:00"/>
    <s v="Customer 041"/>
    <x v="2"/>
    <x v="0"/>
    <s v="South Australia"/>
    <x v="2"/>
    <x v="2"/>
    <s v="Product Phones 9"/>
    <n v="1"/>
    <n v="310"/>
    <n v="0.05"/>
    <n v="294.5"/>
    <n v="64.5"/>
    <s v="Standard Class"/>
    <s v="Ava Williams"/>
  </r>
  <r>
    <s v="ORD-10058"/>
    <x v="57"/>
    <d v="2024-04-02T00:00:00"/>
    <s v="Customer 064"/>
    <x v="0"/>
    <x v="1"/>
    <s v="Northern Territory"/>
    <x v="0"/>
    <x v="0"/>
    <s v="Product Bookcases 10"/>
    <n v="4"/>
    <n v="357"/>
    <n v="0.1"/>
    <n v="1285.2"/>
    <n v="-208.2"/>
    <s v="Second Class"/>
    <s v="Noah Brown"/>
  </r>
  <r>
    <s v="ORD-10059"/>
    <x v="58"/>
    <d v="2024-04-07T00:00:00"/>
    <s v="Customer 087"/>
    <x v="1"/>
    <x v="2"/>
    <s v="Tasmania"/>
    <x v="1"/>
    <x v="1"/>
    <s v="Product Storage 11"/>
    <n v="7"/>
    <n v="404"/>
    <n v="0.15"/>
    <n v="2403.8000000000002"/>
    <n v="473.55"/>
    <s v="First Class"/>
    <s v="Mia Taylor"/>
  </r>
  <r>
    <s v="ORD-10060"/>
    <x v="59"/>
    <d v="2024-04-03T00:00:00"/>
    <s v="Customer 014"/>
    <x v="2"/>
    <x v="3"/>
    <s v="Western Australia"/>
    <x v="2"/>
    <x v="2"/>
    <s v="Product Phones 12"/>
    <n v="2"/>
    <n v="451"/>
    <n v="0.2"/>
    <n v="721.6"/>
    <n v="90.92"/>
    <s v="Same Day"/>
    <s v="Liam Wilson"/>
  </r>
  <r>
    <s v="ORD-10061"/>
    <x v="60"/>
    <d v="2024-04-08T00:00:00"/>
    <s v="Customer 037"/>
    <x v="0"/>
    <x v="0"/>
    <s v="Victoria"/>
    <x v="0"/>
    <x v="0"/>
    <s v="Product Bookcases 1"/>
    <n v="5"/>
    <n v="498"/>
    <n v="0"/>
    <n v="2490"/>
    <n v="448.2"/>
    <s v="Standard Class"/>
    <s v="Ava Williams"/>
  </r>
  <r>
    <s v="ORD-10062"/>
    <x v="61"/>
    <d v="2024-04-12T00:00:00"/>
    <s v="Customer 060"/>
    <x v="1"/>
    <x v="1"/>
    <s v="Queensland"/>
    <x v="1"/>
    <x v="1"/>
    <s v="Product Storage 2"/>
    <n v="8"/>
    <n v="545"/>
    <n v="0"/>
    <n v="4360"/>
    <n v="1264.4000000000001"/>
    <s v="Second Class"/>
    <s v="Noah Brown"/>
  </r>
  <r>
    <s v="ORD-10063"/>
    <x v="62"/>
    <d v="2024-04-09T00:00:00"/>
    <s v="Customer 083"/>
    <x v="2"/>
    <x v="2"/>
    <s v="New South Wales"/>
    <x v="2"/>
    <x v="2"/>
    <s v="Product Phones 3"/>
    <n v="3"/>
    <n v="592"/>
    <n v="0.05"/>
    <n v="1687.2"/>
    <n v="369.5"/>
    <s v="First Class"/>
    <s v="Mia Taylor"/>
  </r>
  <r>
    <s v="ORD-10064"/>
    <x v="63"/>
    <d v="2024-04-13T00:00:00"/>
    <s v="Customer 010"/>
    <x v="0"/>
    <x v="3"/>
    <s v="Australian Capital Territory"/>
    <x v="0"/>
    <x v="3"/>
    <s v="Product Chairs 4"/>
    <n v="6"/>
    <n v="639"/>
    <n v="0.1"/>
    <n v="3450.6"/>
    <n v="407.17"/>
    <s v="Same Day"/>
    <s v="Liam Wilson"/>
  </r>
  <r>
    <s v="ORD-10065"/>
    <x v="64"/>
    <d v="2024-04-10T00:00:00"/>
    <s v="Customer 033"/>
    <x v="1"/>
    <x v="0"/>
    <s v="South Australia"/>
    <x v="1"/>
    <x v="4"/>
    <s v="Product Binders 5"/>
    <n v="1"/>
    <n v="686"/>
    <n v="0.15"/>
    <n v="583.1"/>
    <n v="114.87"/>
    <s v="Standard Class"/>
    <s v="Ava Williams"/>
  </r>
  <r>
    <s v="ORD-10066"/>
    <x v="65"/>
    <d v="2024-04-14T00:00:00"/>
    <s v="Customer 056"/>
    <x v="2"/>
    <x v="1"/>
    <s v="Northern Territory"/>
    <x v="2"/>
    <x v="5"/>
    <s v="Product Copiers 6"/>
    <n v="4"/>
    <n v="733"/>
    <n v="0.2"/>
    <n v="2345.6"/>
    <n v="295.55"/>
    <s v="Second Class"/>
    <s v="Noah Brown"/>
  </r>
  <r>
    <s v="ORD-10067"/>
    <x v="66"/>
    <d v="2024-04-19T00:00:00"/>
    <s v="Customer 079"/>
    <x v="0"/>
    <x v="2"/>
    <s v="Tasmania"/>
    <x v="0"/>
    <x v="3"/>
    <s v="Product Chairs 7"/>
    <n v="7"/>
    <n v="780"/>
    <n v="0"/>
    <n v="5460"/>
    <n v="982.8"/>
    <s v="First Class"/>
    <s v="Mia Taylor"/>
  </r>
  <r>
    <s v="ORD-10068"/>
    <x v="67"/>
    <d v="2024-04-15T00:00:00"/>
    <s v="Customer 006"/>
    <x v="1"/>
    <x v="3"/>
    <s v="Western Australia"/>
    <x v="1"/>
    <x v="4"/>
    <s v="Product Binders 8"/>
    <n v="2"/>
    <n v="47"/>
    <n v="0"/>
    <n v="94"/>
    <n v="27.26"/>
    <s v="Same Day"/>
    <s v="Liam Wilson"/>
  </r>
  <r>
    <s v="ORD-10069"/>
    <x v="68"/>
    <d v="2024-04-20T00:00:00"/>
    <s v="Customer 029"/>
    <x v="2"/>
    <x v="0"/>
    <s v="Victoria"/>
    <x v="2"/>
    <x v="5"/>
    <s v="Product Copiers 9"/>
    <n v="5"/>
    <n v="94"/>
    <n v="0.05"/>
    <n v="446.5"/>
    <n v="97.78"/>
    <s v="Standard Class"/>
    <s v="Ava Williams"/>
  </r>
  <r>
    <s v="ORD-10070"/>
    <x v="69"/>
    <d v="2024-04-24T00:00:00"/>
    <s v="Customer 052"/>
    <x v="0"/>
    <x v="1"/>
    <s v="Queensland"/>
    <x v="0"/>
    <x v="3"/>
    <s v="Product Chairs 10"/>
    <n v="8"/>
    <n v="141"/>
    <n v="0.1"/>
    <n v="1015.2"/>
    <n v="119.79"/>
    <s v="Second Class"/>
    <s v="Noah Brown"/>
  </r>
  <r>
    <s v="ORD-10071"/>
    <x v="70"/>
    <d v="2024-04-21T00:00:00"/>
    <s v="Customer 075"/>
    <x v="1"/>
    <x v="2"/>
    <s v="New South Wales"/>
    <x v="1"/>
    <x v="4"/>
    <s v="Product Binders 11"/>
    <n v="3"/>
    <n v="188"/>
    <n v="0.15"/>
    <n v="479.4"/>
    <n v="94.44"/>
    <s v="First Class"/>
    <s v="Mia Taylor"/>
  </r>
  <r>
    <s v="ORD-10072"/>
    <x v="71"/>
    <d v="2024-04-25T00:00:00"/>
    <s v="Customer 002"/>
    <x v="2"/>
    <x v="3"/>
    <s v="Australian Capital Territory"/>
    <x v="2"/>
    <x v="5"/>
    <s v="Product Copiers 12"/>
    <n v="6"/>
    <n v="235"/>
    <n v="0.2"/>
    <n v="1128"/>
    <n v="142.13"/>
    <s v="Same Day"/>
    <s v="Liam Wilson"/>
  </r>
  <r>
    <s v="ORD-10073"/>
    <x v="72"/>
    <d v="2024-04-22T00:00:00"/>
    <s v="Customer 025"/>
    <x v="0"/>
    <x v="0"/>
    <s v="South Australia"/>
    <x v="0"/>
    <x v="6"/>
    <s v="Product Tables 1"/>
    <n v="1"/>
    <n v="282"/>
    <n v="0"/>
    <n v="282"/>
    <n v="50.76"/>
    <s v="Standard Class"/>
    <s v="Ava Williams"/>
  </r>
  <r>
    <s v="ORD-10074"/>
    <x v="73"/>
    <d v="2024-04-26T00:00:00"/>
    <s v="Customer 048"/>
    <x v="1"/>
    <x v="1"/>
    <s v="Northern Territory"/>
    <x v="1"/>
    <x v="7"/>
    <s v="Product Paper 2"/>
    <n v="4"/>
    <n v="329"/>
    <n v="0"/>
    <n v="1316"/>
    <n v="381.64"/>
    <s v="Second Class"/>
    <s v="Noah Brown"/>
  </r>
  <r>
    <s v="ORD-10075"/>
    <x v="74"/>
    <d v="2024-05-01T00:00:00"/>
    <s v="Customer 071"/>
    <x v="2"/>
    <x v="2"/>
    <s v="Tasmania"/>
    <x v="2"/>
    <x v="8"/>
    <s v="Product Accessories 3"/>
    <n v="7"/>
    <n v="376"/>
    <n v="0.05"/>
    <n v="2500.4"/>
    <n v="547.59"/>
    <s v="First Class"/>
    <s v="Mia Taylor"/>
  </r>
  <r>
    <s v="ORD-10076"/>
    <x v="75"/>
    <d v="2024-04-27T00:00:00"/>
    <s v="Customer 094"/>
    <x v="0"/>
    <x v="3"/>
    <s v="Western Australia"/>
    <x v="0"/>
    <x v="6"/>
    <s v="Product Tables 4"/>
    <n v="2"/>
    <n v="423"/>
    <n v="0.1"/>
    <n v="761.4"/>
    <n v="89.85"/>
    <s v="Same Day"/>
    <s v="Liam Wilson"/>
  </r>
  <r>
    <s v="ORD-10077"/>
    <x v="76"/>
    <d v="2024-05-02T00:00:00"/>
    <s v="Customer 021"/>
    <x v="1"/>
    <x v="0"/>
    <s v="Victoria"/>
    <x v="1"/>
    <x v="7"/>
    <s v="Product Paper 5"/>
    <n v="5"/>
    <n v="470"/>
    <n v="0.15"/>
    <n v="1997.5"/>
    <n v="-165.79"/>
    <s v="Standard Class"/>
    <s v="Ava Williams"/>
  </r>
  <r>
    <s v="ORD-10078"/>
    <x v="77"/>
    <d v="2024-05-07T00:00:00"/>
    <s v="Customer 044"/>
    <x v="2"/>
    <x v="1"/>
    <s v="Queensland"/>
    <x v="2"/>
    <x v="8"/>
    <s v="Product Accessories 6"/>
    <n v="8"/>
    <n v="517"/>
    <n v="0.2"/>
    <n v="3308.8"/>
    <n v="416.91"/>
    <s v="Second Class"/>
    <s v="Noah Brown"/>
  </r>
  <r>
    <s v="ORD-10079"/>
    <x v="78"/>
    <d v="2024-05-03T00:00:00"/>
    <s v="Customer 067"/>
    <x v="0"/>
    <x v="2"/>
    <s v="New South Wales"/>
    <x v="0"/>
    <x v="6"/>
    <s v="Product Tables 7"/>
    <n v="3"/>
    <n v="564"/>
    <n v="0"/>
    <n v="1692"/>
    <n v="304.56"/>
    <s v="First Class"/>
    <s v="Mia Taylor"/>
  </r>
  <r>
    <s v="ORD-10080"/>
    <x v="79"/>
    <d v="2024-05-08T00:00:00"/>
    <s v="Customer 090"/>
    <x v="1"/>
    <x v="3"/>
    <s v="Australian Capital Territory"/>
    <x v="1"/>
    <x v="7"/>
    <s v="Product Paper 8"/>
    <n v="6"/>
    <n v="611"/>
    <n v="0"/>
    <n v="3666"/>
    <n v="1063.1400000000001"/>
    <s v="Same Day"/>
    <s v="Liam Wilson"/>
  </r>
  <r>
    <s v="ORD-10081"/>
    <x v="80"/>
    <d v="2024-05-04T00:00:00"/>
    <s v="Customer 017"/>
    <x v="2"/>
    <x v="0"/>
    <s v="South Australia"/>
    <x v="2"/>
    <x v="8"/>
    <s v="Product Accessories 9"/>
    <n v="1"/>
    <n v="658"/>
    <n v="0.05"/>
    <n v="625.1"/>
    <n v="136.9"/>
    <s v="Standard Class"/>
    <s v="Ava Williams"/>
  </r>
  <r>
    <s v="ORD-10082"/>
    <x v="81"/>
    <d v="2024-05-09T00:00:00"/>
    <s v="Customer 040"/>
    <x v="0"/>
    <x v="1"/>
    <s v="Northern Territory"/>
    <x v="0"/>
    <x v="0"/>
    <s v="Product Bookcases 10"/>
    <n v="4"/>
    <n v="705"/>
    <n v="0.1"/>
    <n v="2538"/>
    <n v="299.48"/>
    <s v="Second Class"/>
    <s v="Noah Brown"/>
  </r>
  <r>
    <s v="ORD-10083"/>
    <x v="82"/>
    <d v="2024-05-13T00:00:00"/>
    <s v="Customer 063"/>
    <x v="1"/>
    <x v="2"/>
    <s v="Tasmania"/>
    <x v="1"/>
    <x v="1"/>
    <s v="Product Storage 11"/>
    <n v="7"/>
    <n v="752"/>
    <n v="0.15"/>
    <n v="4474.3999999999996"/>
    <n v="881.46"/>
    <s v="First Class"/>
    <s v="Mia Taylor"/>
  </r>
  <r>
    <s v="ORD-10084"/>
    <x v="83"/>
    <d v="2024-05-10T00:00:00"/>
    <s v="Customer 086"/>
    <x v="2"/>
    <x v="3"/>
    <s v="Western Australia"/>
    <x v="2"/>
    <x v="2"/>
    <s v="Product Phones 12"/>
    <n v="2"/>
    <n v="19"/>
    <n v="0.2"/>
    <n v="30.4"/>
    <n v="3.83"/>
    <s v="Same Day"/>
    <s v="Liam Wilson"/>
  </r>
  <r>
    <s v="ORD-10085"/>
    <x v="84"/>
    <d v="2024-05-14T00:00:00"/>
    <s v="Customer 013"/>
    <x v="0"/>
    <x v="0"/>
    <s v="Victoria"/>
    <x v="0"/>
    <x v="0"/>
    <s v="Product Bookcases 1"/>
    <n v="5"/>
    <n v="66"/>
    <n v="0"/>
    <n v="330"/>
    <n v="59.4"/>
    <s v="Standard Class"/>
    <s v="Ava Williams"/>
  </r>
  <r>
    <s v="ORD-10086"/>
    <x v="85"/>
    <d v="2024-05-19T00:00:00"/>
    <s v="Customer 036"/>
    <x v="1"/>
    <x v="1"/>
    <s v="Queensland"/>
    <x v="1"/>
    <x v="1"/>
    <s v="Product Storage 2"/>
    <n v="8"/>
    <n v="113"/>
    <n v="0"/>
    <n v="904"/>
    <n v="262.16000000000003"/>
    <s v="Second Class"/>
    <s v="Noah Brown"/>
  </r>
  <r>
    <s v="ORD-10087"/>
    <x v="86"/>
    <d v="2024-05-15T00:00:00"/>
    <s v="Customer 059"/>
    <x v="2"/>
    <x v="2"/>
    <s v="New South Wales"/>
    <x v="2"/>
    <x v="2"/>
    <s v="Product Phones 3"/>
    <n v="3"/>
    <n v="160"/>
    <n v="0.05"/>
    <n v="456"/>
    <n v="99.86"/>
    <s v="First Class"/>
    <s v="Mia Taylor"/>
  </r>
  <r>
    <s v="ORD-10088"/>
    <x v="87"/>
    <d v="2024-05-20T00:00:00"/>
    <s v="Customer 082"/>
    <x v="0"/>
    <x v="3"/>
    <s v="Australian Capital Territory"/>
    <x v="0"/>
    <x v="0"/>
    <s v="Product Bookcases 4"/>
    <n v="6"/>
    <n v="207"/>
    <n v="0.1"/>
    <n v="1117.8"/>
    <n v="131.9"/>
    <s v="Same Day"/>
    <s v="Liam Wilson"/>
  </r>
  <r>
    <s v="ORD-10089"/>
    <x v="88"/>
    <d v="2024-05-16T00:00:00"/>
    <s v="Customer 009"/>
    <x v="1"/>
    <x v="0"/>
    <s v="South Australia"/>
    <x v="1"/>
    <x v="1"/>
    <s v="Product Storage 5"/>
    <n v="1"/>
    <n v="254"/>
    <n v="0.15"/>
    <n v="215.9"/>
    <n v="42.53"/>
    <s v="Standard Class"/>
    <s v="Ava Williams"/>
  </r>
  <r>
    <s v="ORD-10090"/>
    <x v="89"/>
    <d v="2024-05-21T00:00:00"/>
    <s v="Customer 032"/>
    <x v="2"/>
    <x v="1"/>
    <s v="Northern Territory"/>
    <x v="2"/>
    <x v="2"/>
    <s v="Product Phones 6"/>
    <n v="4"/>
    <n v="301"/>
    <n v="0.2"/>
    <n v="963.2"/>
    <n v="121.36"/>
    <s v="Second Class"/>
    <s v="Noah Brown"/>
  </r>
  <r>
    <s v="ORD-10091"/>
    <x v="90"/>
    <d v="2024-05-25T00:00:00"/>
    <s v="Customer 055"/>
    <x v="0"/>
    <x v="2"/>
    <s v="Tasmania"/>
    <x v="0"/>
    <x v="3"/>
    <s v="Product Chairs 7"/>
    <n v="7"/>
    <n v="348"/>
    <n v="0"/>
    <n v="2436"/>
    <n v="438.48"/>
    <s v="First Class"/>
    <s v="Mia Taylor"/>
  </r>
  <r>
    <s v="ORD-10092"/>
    <x v="91"/>
    <d v="2024-05-22T00:00:00"/>
    <s v="Customer 078"/>
    <x v="1"/>
    <x v="3"/>
    <s v="Western Australia"/>
    <x v="1"/>
    <x v="4"/>
    <s v="Product Binders 8"/>
    <n v="2"/>
    <n v="395"/>
    <n v="0"/>
    <n v="790"/>
    <n v="229.1"/>
    <s v="Same Day"/>
    <s v="Liam Wilson"/>
  </r>
  <r>
    <s v="ORD-10093"/>
    <x v="92"/>
    <d v="2024-05-26T00:00:00"/>
    <s v="Customer 005"/>
    <x v="2"/>
    <x v="0"/>
    <s v="Victoria"/>
    <x v="2"/>
    <x v="5"/>
    <s v="Product Copiers 9"/>
    <n v="5"/>
    <n v="442"/>
    <n v="0.05"/>
    <n v="2099.5"/>
    <n v="459.79"/>
    <s v="Standard Class"/>
    <s v="Ava Williams"/>
  </r>
  <r>
    <s v="ORD-10094"/>
    <x v="93"/>
    <d v="2024-05-31T00:00:00"/>
    <s v="Customer 028"/>
    <x v="0"/>
    <x v="1"/>
    <s v="Queensland"/>
    <x v="0"/>
    <x v="3"/>
    <s v="Product Chairs 10"/>
    <n v="8"/>
    <n v="489"/>
    <n v="0.1"/>
    <n v="3520.8"/>
    <n v="415.45"/>
    <s v="Second Class"/>
    <s v="Noah Brown"/>
  </r>
  <r>
    <s v="ORD-10095"/>
    <x v="94"/>
    <d v="2024-05-27T00:00:00"/>
    <s v="Customer 051"/>
    <x v="1"/>
    <x v="2"/>
    <s v="New South Wales"/>
    <x v="1"/>
    <x v="4"/>
    <s v="Product Binders 11"/>
    <n v="3"/>
    <n v="536"/>
    <n v="0.15"/>
    <n v="1366.8"/>
    <n v="269.26"/>
    <s v="First Class"/>
    <s v="Mia Taylor"/>
  </r>
  <r>
    <s v="ORD-10096"/>
    <x v="95"/>
    <d v="2024-06-01T00:00:00"/>
    <s v="Customer 074"/>
    <x v="2"/>
    <x v="3"/>
    <s v="Australian Capital Territory"/>
    <x v="2"/>
    <x v="5"/>
    <s v="Product Copiers 12"/>
    <n v="6"/>
    <n v="583"/>
    <n v="0.2"/>
    <n v="2798.4"/>
    <n v="-430.95"/>
    <s v="Same Day"/>
    <s v="Liam Wilson"/>
  </r>
  <r>
    <s v="ORD-10097"/>
    <x v="96"/>
    <d v="2024-05-28T00:00:00"/>
    <s v="Customer 001"/>
    <x v="0"/>
    <x v="0"/>
    <s v="South Australia"/>
    <x v="0"/>
    <x v="3"/>
    <s v="Product Chairs 1"/>
    <n v="1"/>
    <n v="630"/>
    <n v="0"/>
    <n v="630"/>
    <n v="113.4"/>
    <s v="Standard Class"/>
    <s v="Ava Williams"/>
  </r>
  <r>
    <s v="ORD-10098"/>
    <x v="97"/>
    <d v="2024-06-02T00:00:00"/>
    <s v="Customer 024"/>
    <x v="1"/>
    <x v="1"/>
    <s v="Northern Territory"/>
    <x v="1"/>
    <x v="4"/>
    <s v="Product Binders 2"/>
    <n v="4"/>
    <n v="677"/>
    <n v="0"/>
    <n v="2708"/>
    <n v="785.32"/>
    <s v="Second Class"/>
    <s v="Noah Brown"/>
  </r>
  <r>
    <s v="ORD-10099"/>
    <x v="98"/>
    <d v="2024-06-06T00:00:00"/>
    <s v="Customer 047"/>
    <x v="2"/>
    <x v="2"/>
    <s v="Tasmania"/>
    <x v="2"/>
    <x v="5"/>
    <s v="Product Copiers 3"/>
    <n v="7"/>
    <n v="724"/>
    <n v="0.05"/>
    <n v="4814.6000000000004"/>
    <n v="1054.4000000000001"/>
    <s v="First Class"/>
    <s v="Mia Taylor"/>
  </r>
  <r>
    <s v="ORD-10100"/>
    <x v="99"/>
    <d v="2024-06-03T00:00:00"/>
    <s v="Customer 070"/>
    <x v="0"/>
    <x v="3"/>
    <s v="Western Australia"/>
    <x v="0"/>
    <x v="6"/>
    <s v="Product Tables 4"/>
    <n v="2"/>
    <n v="771"/>
    <n v="0.1"/>
    <n v="1387.8"/>
    <n v="163.76"/>
    <s v="Same Day"/>
    <s v="Liam Wilson"/>
  </r>
  <r>
    <s v="ORD-10101"/>
    <x v="100"/>
    <d v="2024-06-07T00:00:00"/>
    <s v="Customer 093"/>
    <x v="1"/>
    <x v="0"/>
    <s v="Victoria"/>
    <x v="1"/>
    <x v="7"/>
    <s v="Product Paper 5"/>
    <n v="5"/>
    <n v="38"/>
    <n v="0.15"/>
    <n v="161.5"/>
    <n v="31.82"/>
    <s v="Standard Class"/>
    <s v="Ava Williams"/>
  </r>
  <r>
    <s v="ORD-10102"/>
    <x v="101"/>
    <d v="2024-06-12T00:00:00"/>
    <s v="Customer 020"/>
    <x v="2"/>
    <x v="1"/>
    <s v="Queensland"/>
    <x v="2"/>
    <x v="8"/>
    <s v="Product Accessories 6"/>
    <n v="8"/>
    <n v="85"/>
    <n v="0.2"/>
    <n v="544"/>
    <n v="68.540000000000006"/>
    <s v="Second Class"/>
    <s v="Noah Brown"/>
  </r>
  <r>
    <s v="ORD-10103"/>
    <x v="102"/>
    <d v="2024-06-09T00:00:00"/>
    <s v="Customer 043"/>
    <x v="0"/>
    <x v="2"/>
    <s v="New South Wales"/>
    <x v="0"/>
    <x v="6"/>
    <s v="Product Tables 7"/>
    <n v="3"/>
    <n v="132"/>
    <n v="0"/>
    <n v="396"/>
    <n v="71.28"/>
    <s v="First Class"/>
    <s v="Mia Taylor"/>
  </r>
  <r>
    <s v="ORD-10104"/>
    <x v="103"/>
    <d v="2024-06-13T00:00:00"/>
    <s v="Customer 066"/>
    <x v="1"/>
    <x v="3"/>
    <s v="Australian Capital Territory"/>
    <x v="1"/>
    <x v="7"/>
    <s v="Product Paper 8"/>
    <n v="6"/>
    <n v="179"/>
    <n v="0"/>
    <n v="1074"/>
    <n v="311.45999999999998"/>
    <s v="Same Day"/>
    <s v="Liam Wilson"/>
  </r>
  <r>
    <s v="ORD-10105"/>
    <x v="104"/>
    <d v="2024-06-10T00:00:00"/>
    <s v="Customer 089"/>
    <x v="2"/>
    <x v="0"/>
    <s v="South Australia"/>
    <x v="2"/>
    <x v="8"/>
    <s v="Product Accessories 9"/>
    <n v="1"/>
    <n v="226"/>
    <n v="0.05"/>
    <n v="214.7"/>
    <n v="47.02"/>
    <s v="Standard Class"/>
    <s v="Ava Williams"/>
  </r>
  <r>
    <s v="ORD-10106"/>
    <x v="105"/>
    <d v="2024-06-14T00:00:00"/>
    <s v="Customer 016"/>
    <x v="0"/>
    <x v="1"/>
    <s v="Northern Territory"/>
    <x v="0"/>
    <x v="6"/>
    <s v="Product Tables 10"/>
    <n v="4"/>
    <n v="273"/>
    <n v="0.1"/>
    <n v="982.8"/>
    <n v="115.97"/>
    <s v="Second Class"/>
    <s v="Noah Brown"/>
  </r>
  <r>
    <s v="ORD-10107"/>
    <x v="106"/>
    <d v="2024-06-19T00:00:00"/>
    <s v="Customer 039"/>
    <x v="1"/>
    <x v="2"/>
    <s v="Tasmania"/>
    <x v="1"/>
    <x v="7"/>
    <s v="Product Paper 11"/>
    <n v="7"/>
    <n v="320"/>
    <n v="0.15"/>
    <n v="1904"/>
    <n v="375.09"/>
    <s v="First Class"/>
    <s v="Mia Taylor"/>
  </r>
  <r>
    <s v="ORD-10108"/>
    <x v="107"/>
    <d v="2024-06-15T00:00:00"/>
    <s v="Customer 062"/>
    <x v="2"/>
    <x v="3"/>
    <s v="Western Australia"/>
    <x v="2"/>
    <x v="8"/>
    <s v="Product Accessories 12"/>
    <n v="2"/>
    <n v="367"/>
    <n v="0.2"/>
    <n v="587.20000000000005"/>
    <n v="73.989999999999995"/>
    <s v="Same Day"/>
    <s v="Liam Wilson"/>
  </r>
  <r>
    <s v="ORD-10109"/>
    <x v="108"/>
    <d v="2024-06-20T00:00:00"/>
    <s v="Customer 085"/>
    <x v="0"/>
    <x v="0"/>
    <s v="Victoria"/>
    <x v="0"/>
    <x v="0"/>
    <s v="Product Bookcases 1"/>
    <n v="5"/>
    <n v="414"/>
    <n v="0"/>
    <n v="2070"/>
    <n v="372.6"/>
    <s v="Standard Class"/>
    <s v="Ava Williams"/>
  </r>
  <r>
    <s v="ORD-10110"/>
    <x v="109"/>
    <d v="2024-06-24T00:00:00"/>
    <s v="Customer 012"/>
    <x v="1"/>
    <x v="1"/>
    <s v="Queensland"/>
    <x v="1"/>
    <x v="1"/>
    <s v="Product Storage 2"/>
    <n v="8"/>
    <n v="461"/>
    <n v="0"/>
    <n v="3688"/>
    <n v="1069.52"/>
    <s v="Second Class"/>
    <s v="Noah Brown"/>
  </r>
  <r>
    <s v="ORD-10111"/>
    <x v="110"/>
    <d v="2024-06-21T00:00:00"/>
    <s v="Customer 035"/>
    <x v="2"/>
    <x v="2"/>
    <s v="New South Wales"/>
    <x v="2"/>
    <x v="2"/>
    <s v="Product Phones 3"/>
    <n v="3"/>
    <n v="508"/>
    <n v="0.05"/>
    <n v="1447.8"/>
    <n v="317.07"/>
    <s v="First Class"/>
    <s v="Mia Taylor"/>
  </r>
  <r>
    <s v="ORD-10112"/>
    <x v="111"/>
    <d v="2024-06-25T00:00:00"/>
    <s v="Customer 058"/>
    <x v="0"/>
    <x v="3"/>
    <s v="Australian Capital Territory"/>
    <x v="0"/>
    <x v="0"/>
    <s v="Product Bookcases 4"/>
    <n v="6"/>
    <n v="555"/>
    <n v="0.1"/>
    <n v="2997"/>
    <n v="353.65"/>
    <s v="Same Day"/>
    <s v="Liam Wilson"/>
  </r>
  <r>
    <s v="ORD-10113"/>
    <x v="112"/>
    <d v="2024-06-22T00:00:00"/>
    <s v="Customer 081"/>
    <x v="1"/>
    <x v="0"/>
    <s v="South Australia"/>
    <x v="1"/>
    <x v="1"/>
    <s v="Product Storage 5"/>
    <n v="1"/>
    <n v="602"/>
    <n v="0.15"/>
    <n v="511.7"/>
    <n v="100.8"/>
    <s v="Standard Class"/>
    <s v="Ava Williams"/>
  </r>
  <r>
    <s v="ORD-10114"/>
    <x v="113"/>
    <d v="2024-06-26T00:00:00"/>
    <s v="Customer 008"/>
    <x v="2"/>
    <x v="1"/>
    <s v="Northern Territory"/>
    <x v="2"/>
    <x v="2"/>
    <s v="Product Phones 6"/>
    <n v="4"/>
    <n v="649"/>
    <n v="0.2"/>
    <n v="2076.8000000000002"/>
    <n v="261.68"/>
    <s v="Second Class"/>
    <s v="Noah Brown"/>
  </r>
  <r>
    <s v="ORD-10115"/>
    <x v="114"/>
    <d v="2024-07-01T00:00:00"/>
    <s v="Customer 031"/>
    <x v="0"/>
    <x v="2"/>
    <s v="Tasmania"/>
    <x v="0"/>
    <x v="0"/>
    <s v="Product Bookcases 7"/>
    <n v="7"/>
    <n v="696"/>
    <n v="0"/>
    <n v="4872"/>
    <n v="-487.2"/>
    <s v="First Class"/>
    <s v="Mia Taylor"/>
  </r>
  <r>
    <s v="ORD-10116"/>
    <x v="115"/>
    <d v="2024-06-27T00:00:00"/>
    <s v="Customer 054"/>
    <x v="1"/>
    <x v="3"/>
    <s v="Western Australia"/>
    <x v="1"/>
    <x v="1"/>
    <s v="Product Storage 8"/>
    <n v="2"/>
    <n v="743"/>
    <n v="0"/>
    <n v="1486"/>
    <n v="430.94"/>
    <s v="Same Day"/>
    <s v="Liam Wilson"/>
  </r>
  <r>
    <s v="ORD-10117"/>
    <x v="116"/>
    <d v="2024-07-02T00:00:00"/>
    <s v="Customer 077"/>
    <x v="2"/>
    <x v="0"/>
    <s v="Victoria"/>
    <x v="2"/>
    <x v="2"/>
    <s v="Product Phones 9"/>
    <n v="5"/>
    <n v="790"/>
    <n v="0.05"/>
    <n v="3752.5"/>
    <n v="821.8"/>
    <s v="Standard Class"/>
    <s v="Ava Williams"/>
  </r>
  <r>
    <s v="ORD-10118"/>
    <x v="117"/>
    <d v="2024-07-06T00:00:00"/>
    <s v="Customer 004"/>
    <x v="0"/>
    <x v="1"/>
    <s v="Queensland"/>
    <x v="0"/>
    <x v="3"/>
    <s v="Product Chairs 10"/>
    <n v="8"/>
    <n v="57"/>
    <n v="0.1"/>
    <n v="410.4"/>
    <n v="48.43"/>
    <s v="Second Class"/>
    <s v="Noah Brown"/>
  </r>
  <r>
    <s v="ORD-10119"/>
    <x v="118"/>
    <d v="2024-07-03T00:00:00"/>
    <s v="Customer 027"/>
    <x v="1"/>
    <x v="2"/>
    <s v="New South Wales"/>
    <x v="1"/>
    <x v="4"/>
    <s v="Product Binders 11"/>
    <n v="3"/>
    <n v="104"/>
    <n v="0.15"/>
    <n v="265.2"/>
    <n v="52.24"/>
    <s v="First Class"/>
    <s v="Mia Taylor"/>
  </r>
  <r>
    <s v="ORD-10120"/>
    <x v="119"/>
    <d v="2024-07-07T00:00:00"/>
    <s v="Customer 050"/>
    <x v="2"/>
    <x v="3"/>
    <s v="Australian Capital Territory"/>
    <x v="2"/>
    <x v="5"/>
    <s v="Product Copiers 12"/>
    <n v="6"/>
    <n v="151"/>
    <n v="0.2"/>
    <n v="724.8"/>
    <n v="91.32"/>
    <s v="Same Day"/>
    <s v="Liam Wilson"/>
  </r>
  <r>
    <s v="ORD-10121"/>
    <x v="120"/>
    <d v="2024-07-04T00:00:00"/>
    <s v="Customer 073"/>
    <x v="0"/>
    <x v="0"/>
    <s v="South Australia"/>
    <x v="0"/>
    <x v="3"/>
    <s v="Product Chairs 1"/>
    <n v="1"/>
    <n v="198"/>
    <n v="0"/>
    <n v="198"/>
    <n v="35.64"/>
    <s v="Standard Class"/>
    <s v="Ava Williams"/>
  </r>
  <r>
    <s v="ORD-10122"/>
    <x v="121"/>
    <d v="2024-07-08T00:00:00"/>
    <s v="Customer 096"/>
    <x v="1"/>
    <x v="1"/>
    <s v="Northern Territory"/>
    <x v="1"/>
    <x v="4"/>
    <s v="Product Binders 2"/>
    <n v="4"/>
    <n v="245"/>
    <n v="0"/>
    <n v="980"/>
    <n v="284.2"/>
    <s v="Second Class"/>
    <s v="Noah Brown"/>
  </r>
  <r>
    <s v="ORD-10123"/>
    <x v="122"/>
    <d v="2024-07-13T00:00:00"/>
    <s v="Customer 023"/>
    <x v="2"/>
    <x v="2"/>
    <s v="Tasmania"/>
    <x v="2"/>
    <x v="5"/>
    <s v="Product Copiers 3"/>
    <n v="7"/>
    <n v="292"/>
    <n v="0.05"/>
    <n v="1941.8"/>
    <n v="425.25"/>
    <s v="First Class"/>
    <s v="Mia Taylor"/>
  </r>
  <r>
    <s v="ORD-10124"/>
    <x v="123"/>
    <d v="2024-07-09T00:00:00"/>
    <s v="Customer 046"/>
    <x v="0"/>
    <x v="3"/>
    <s v="Western Australia"/>
    <x v="0"/>
    <x v="3"/>
    <s v="Product Chairs 4"/>
    <n v="2"/>
    <n v="339"/>
    <n v="0.1"/>
    <n v="610.20000000000005"/>
    <n v="72"/>
    <s v="Same Day"/>
    <s v="Liam Wilson"/>
  </r>
  <r>
    <s v="ORD-10125"/>
    <x v="124"/>
    <d v="2024-07-14T00:00:00"/>
    <s v="Customer 069"/>
    <x v="1"/>
    <x v="0"/>
    <s v="Victoria"/>
    <x v="1"/>
    <x v="4"/>
    <s v="Product Binders 5"/>
    <n v="5"/>
    <n v="386"/>
    <n v="0.15"/>
    <n v="1640.5"/>
    <n v="323.18"/>
    <s v="Standard Class"/>
    <s v="Ava Williams"/>
  </r>
  <r>
    <s v="ORD-10126"/>
    <x v="125"/>
    <d v="2024-07-18T00:00:00"/>
    <s v="Customer 092"/>
    <x v="2"/>
    <x v="1"/>
    <s v="Queensland"/>
    <x v="2"/>
    <x v="5"/>
    <s v="Product Copiers 6"/>
    <n v="8"/>
    <n v="433"/>
    <n v="0.2"/>
    <n v="2771.2"/>
    <n v="349.17"/>
    <s v="Second Class"/>
    <s v="Noah Brown"/>
  </r>
  <r>
    <s v="ORD-10127"/>
    <x v="126"/>
    <d v="2024-07-15T00:00:00"/>
    <s v="Customer 019"/>
    <x v="0"/>
    <x v="2"/>
    <s v="New South Wales"/>
    <x v="0"/>
    <x v="6"/>
    <s v="Product Tables 7"/>
    <n v="3"/>
    <n v="480"/>
    <n v="0"/>
    <n v="1440"/>
    <n v="259.2"/>
    <s v="First Class"/>
    <s v="Mia Taylor"/>
  </r>
  <r>
    <s v="ORD-10128"/>
    <x v="127"/>
    <d v="2024-07-20T00:00:00"/>
    <s v="Customer 042"/>
    <x v="1"/>
    <x v="3"/>
    <s v="Australian Capital Territory"/>
    <x v="1"/>
    <x v="7"/>
    <s v="Product Paper 8"/>
    <n v="6"/>
    <n v="527"/>
    <n v="0"/>
    <n v="3162"/>
    <n v="916.98"/>
    <s v="Same Day"/>
    <s v="Liam Wilson"/>
  </r>
  <r>
    <s v="ORD-10129"/>
    <x v="128"/>
    <d v="2024-07-16T00:00:00"/>
    <s v="Customer 065"/>
    <x v="2"/>
    <x v="0"/>
    <s v="South Australia"/>
    <x v="2"/>
    <x v="8"/>
    <s v="Product Accessories 9"/>
    <n v="1"/>
    <n v="574"/>
    <n v="0.05"/>
    <n v="545.29999999999995"/>
    <n v="119.42"/>
    <s v="Standard Class"/>
    <s v="Ava Williams"/>
  </r>
  <r>
    <s v="ORD-10130"/>
    <x v="129"/>
    <d v="2024-07-21T00:00:00"/>
    <s v="Customer 088"/>
    <x v="0"/>
    <x v="1"/>
    <s v="Northern Territory"/>
    <x v="0"/>
    <x v="6"/>
    <s v="Product Tables 10"/>
    <n v="4"/>
    <n v="621"/>
    <n v="0.1"/>
    <n v="2235.6"/>
    <n v="263.8"/>
    <s v="Second Class"/>
    <s v="Noah Brown"/>
  </r>
  <r>
    <s v="ORD-10131"/>
    <x v="130"/>
    <d v="2024-07-25T00:00:00"/>
    <s v="Customer 015"/>
    <x v="1"/>
    <x v="2"/>
    <s v="Tasmania"/>
    <x v="1"/>
    <x v="7"/>
    <s v="Product Paper 11"/>
    <n v="7"/>
    <n v="668"/>
    <n v="0.15"/>
    <n v="3974.6"/>
    <n v="783"/>
    <s v="First Class"/>
    <s v="Mia Taylor"/>
  </r>
  <r>
    <s v="ORD-10132"/>
    <x v="131"/>
    <d v="2024-07-22T00:00:00"/>
    <s v="Customer 038"/>
    <x v="2"/>
    <x v="3"/>
    <s v="Western Australia"/>
    <x v="2"/>
    <x v="8"/>
    <s v="Product Accessories 12"/>
    <n v="2"/>
    <n v="715"/>
    <n v="0.2"/>
    <n v="1144"/>
    <n v="144.13999999999999"/>
    <s v="Same Day"/>
    <s v="Liam Wilson"/>
  </r>
  <r>
    <s v="ORD-10133"/>
    <x v="132"/>
    <d v="2024-07-26T00:00:00"/>
    <s v="Customer 061"/>
    <x v="0"/>
    <x v="0"/>
    <s v="Victoria"/>
    <x v="0"/>
    <x v="6"/>
    <s v="Product Tables 1"/>
    <n v="5"/>
    <n v="762"/>
    <n v="0"/>
    <n v="3810"/>
    <n v="685.8"/>
    <s v="Standard Class"/>
    <s v="Ava Williams"/>
  </r>
  <r>
    <s v="ORD-10134"/>
    <x v="133"/>
    <d v="2024-07-31T00:00:00"/>
    <s v="Customer 084"/>
    <x v="1"/>
    <x v="1"/>
    <s v="Queensland"/>
    <x v="1"/>
    <x v="7"/>
    <s v="Product Paper 2"/>
    <n v="8"/>
    <n v="29"/>
    <n v="0"/>
    <n v="232"/>
    <n v="2.3199999999999998"/>
    <s v="Second Class"/>
    <s v="Noah Brown"/>
  </r>
  <r>
    <s v="ORD-10135"/>
    <x v="134"/>
    <d v="2024-07-27T00:00:00"/>
    <s v="Customer 011"/>
    <x v="2"/>
    <x v="2"/>
    <s v="New South Wales"/>
    <x v="2"/>
    <x v="8"/>
    <s v="Product Accessories 3"/>
    <n v="3"/>
    <n v="76"/>
    <n v="0.05"/>
    <n v="216.6"/>
    <n v="47.44"/>
    <s v="First Class"/>
    <s v="Mia Taylor"/>
  </r>
  <r>
    <s v="ORD-10136"/>
    <x v="135"/>
    <d v="2024-08-01T00:00:00"/>
    <s v="Customer 034"/>
    <x v="0"/>
    <x v="3"/>
    <s v="Australian Capital Territory"/>
    <x v="0"/>
    <x v="0"/>
    <s v="Product Bookcases 4"/>
    <n v="6"/>
    <n v="123"/>
    <n v="0.1"/>
    <n v="664.2"/>
    <n v="78.38"/>
    <s v="Same Day"/>
    <s v="Liam Wilson"/>
  </r>
  <r>
    <s v="ORD-10137"/>
    <x v="136"/>
    <d v="2024-07-28T00:00:00"/>
    <s v="Customer 057"/>
    <x v="1"/>
    <x v="0"/>
    <s v="South Australia"/>
    <x v="1"/>
    <x v="1"/>
    <s v="Product Storage 5"/>
    <n v="1"/>
    <n v="170"/>
    <n v="0.15"/>
    <n v="144.5"/>
    <n v="28.47"/>
    <s v="Standard Class"/>
    <s v="Ava Williams"/>
  </r>
  <r>
    <s v="ORD-10138"/>
    <x v="137"/>
    <d v="2024-08-02T00:00:00"/>
    <s v="Customer 080"/>
    <x v="2"/>
    <x v="1"/>
    <s v="Northern Territory"/>
    <x v="2"/>
    <x v="2"/>
    <s v="Product Phones 6"/>
    <n v="4"/>
    <n v="217"/>
    <n v="0.2"/>
    <n v="694.4"/>
    <n v="87.49"/>
    <s v="Second Class"/>
    <s v="Noah Brown"/>
  </r>
  <r>
    <s v="ORD-10139"/>
    <x v="138"/>
    <d v="2024-08-06T00:00:00"/>
    <s v="Customer 007"/>
    <x v="0"/>
    <x v="2"/>
    <s v="Tasmania"/>
    <x v="0"/>
    <x v="0"/>
    <s v="Product Bookcases 7"/>
    <n v="7"/>
    <n v="264"/>
    <n v="0"/>
    <n v="1848"/>
    <n v="332.64"/>
    <s v="First Class"/>
    <s v="Mia Taylor"/>
  </r>
  <r>
    <s v="ORD-10140"/>
    <x v="139"/>
    <d v="2024-08-03T00:00:00"/>
    <s v="Customer 030"/>
    <x v="1"/>
    <x v="3"/>
    <s v="Western Australia"/>
    <x v="1"/>
    <x v="1"/>
    <s v="Product Storage 8"/>
    <n v="2"/>
    <n v="311"/>
    <n v="0"/>
    <n v="622"/>
    <n v="180.38"/>
    <s v="Same Day"/>
    <s v="Liam Wilson"/>
  </r>
  <r>
    <s v="ORD-10141"/>
    <x v="140"/>
    <d v="2024-08-07T00:00:00"/>
    <s v="Customer 053"/>
    <x v="2"/>
    <x v="0"/>
    <s v="Victoria"/>
    <x v="2"/>
    <x v="2"/>
    <s v="Product Phones 9"/>
    <n v="5"/>
    <n v="358"/>
    <n v="0.05"/>
    <n v="1700.5"/>
    <n v="372.41"/>
    <s v="Standard Class"/>
    <s v="Ava Williams"/>
  </r>
  <r>
    <s v="ORD-10142"/>
    <x v="141"/>
    <d v="2024-08-12T00:00:00"/>
    <s v="Customer 076"/>
    <x v="0"/>
    <x v="1"/>
    <s v="Queensland"/>
    <x v="0"/>
    <x v="0"/>
    <s v="Product Bookcases 10"/>
    <n v="8"/>
    <n v="405"/>
    <n v="0.1"/>
    <n v="2916"/>
    <n v="344.09"/>
    <s v="Second Class"/>
    <s v="Noah Brown"/>
  </r>
  <r>
    <s v="ORD-10143"/>
    <x v="142"/>
    <d v="2024-08-08T00:00:00"/>
    <s v="Customer 003"/>
    <x v="1"/>
    <x v="2"/>
    <s v="New South Wales"/>
    <x v="1"/>
    <x v="1"/>
    <s v="Product Storage 11"/>
    <n v="3"/>
    <n v="452"/>
    <n v="0.15"/>
    <n v="1152.5999999999999"/>
    <n v="227.06"/>
    <s v="First Class"/>
    <s v="Mia Taylor"/>
  </r>
  <r>
    <s v="ORD-10144"/>
    <x v="143"/>
    <d v="2024-08-13T00:00:00"/>
    <s v="Customer 026"/>
    <x v="2"/>
    <x v="3"/>
    <s v="Australian Capital Territory"/>
    <x v="2"/>
    <x v="2"/>
    <s v="Product Phones 12"/>
    <n v="6"/>
    <n v="499"/>
    <n v="0.2"/>
    <n v="2395.1999999999998"/>
    <n v="301.8"/>
    <s v="Same Day"/>
    <s v="Liam Wilson"/>
  </r>
  <r>
    <s v="ORD-10145"/>
    <x v="144"/>
    <d v="2024-08-09T00:00:00"/>
    <s v="Customer 049"/>
    <x v="0"/>
    <x v="0"/>
    <s v="South Australia"/>
    <x v="0"/>
    <x v="3"/>
    <s v="Product Chairs 1"/>
    <n v="1"/>
    <n v="546"/>
    <n v="0"/>
    <n v="546"/>
    <n v="98.28"/>
    <s v="Standard Class"/>
    <s v="Ava Williams"/>
  </r>
  <r>
    <s v="ORD-10146"/>
    <x v="145"/>
    <d v="2024-08-14T00:00:00"/>
    <s v="Customer 072"/>
    <x v="1"/>
    <x v="1"/>
    <s v="Northern Territory"/>
    <x v="1"/>
    <x v="4"/>
    <s v="Product Binders 2"/>
    <n v="4"/>
    <n v="593"/>
    <n v="0"/>
    <n v="2372"/>
    <n v="687.88"/>
    <s v="Second Class"/>
    <s v="Noah Brown"/>
  </r>
  <r>
    <s v="ORD-10147"/>
    <x v="146"/>
    <d v="2024-08-18T00:00:00"/>
    <s v="Customer 095"/>
    <x v="2"/>
    <x v="2"/>
    <s v="Tasmania"/>
    <x v="2"/>
    <x v="5"/>
    <s v="Product Copiers 3"/>
    <n v="7"/>
    <n v="640"/>
    <n v="0.05"/>
    <n v="4256"/>
    <n v="932.06"/>
    <s v="First Class"/>
    <s v="Mia Taylor"/>
  </r>
  <r>
    <s v="ORD-10148"/>
    <x v="147"/>
    <d v="2024-08-15T00:00:00"/>
    <s v="Customer 022"/>
    <x v="0"/>
    <x v="3"/>
    <s v="Western Australia"/>
    <x v="0"/>
    <x v="3"/>
    <s v="Product Chairs 4"/>
    <n v="2"/>
    <n v="687"/>
    <n v="0.1"/>
    <n v="1236.5999999999999"/>
    <n v="145.91999999999999"/>
    <s v="Same Day"/>
    <s v="Liam Wilson"/>
  </r>
  <r>
    <s v="ORD-10149"/>
    <x v="148"/>
    <d v="2024-08-19T00:00:00"/>
    <s v="Customer 045"/>
    <x v="1"/>
    <x v="0"/>
    <s v="Victoria"/>
    <x v="1"/>
    <x v="4"/>
    <s v="Product Binders 5"/>
    <n v="5"/>
    <n v="734"/>
    <n v="0.15"/>
    <n v="3119.5"/>
    <n v="614.54"/>
    <s v="Standard Class"/>
    <s v="Ava Williams"/>
  </r>
  <r>
    <s v="ORD-10150"/>
    <x v="149"/>
    <d v="2024-08-24T00:00:00"/>
    <s v="Customer 068"/>
    <x v="2"/>
    <x v="1"/>
    <s v="Queensland"/>
    <x v="2"/>
    <x v="5"/>
    <s v="Product Copiers 6"/>
    <n v="8"/>
    <n v="781"/>
    <n v="0.2"/>
    <n v="4998.3999999999996"/>
    <n v="629.79999999999995"/>
    <s v="Second Class"/>
    <s v="Noah Brown"/>
  </r>
  <r>
    <s v="ORD-10151"/>
    <x v="150"/>
    <d v="2024-08-20T00:00:00"/>
    <s v="Customer 091"/>
    <x v="0"/>
    <x v="2"/>
    <s v="New South Wales"/>
    <x v="0"/>
    <x v="3"/>
    <s v="Product Chairs 7"/>
    <n v="3"/>
    <n v="48"/>
    <n v="0"/>
    <n v="144"/>
    <n v="25.92"/>
    <s v="First Class"/>
    <s v="Mia Taylor"/>
  </r>
  <r>
    <s v="ORD-10152"/>
    <x v="151"/>
    <d v="2024-08-25T00:00:00"/>
    <s v="Customer 018"/>
    <x v="1"/>
    <x v="3"/>
    <s v="Australian Capital Territory"/>
    <x v="1"/>
    <x v="4"/>
    <s v="Product Binders 8"/>
    <n v="6"/>
    <n v="95"/>
    <n v="0"/>
    <n v="570"/>
    <n v="165.3"/>
    <s v="Same Day"/>
    <s v="Liam Wilson"/>
  </r>
  <r>
    <s v="ORD-10153"/>
    <x v="152"/>
    <d v="2024-08-22T00:00:00"/>
    <s v="Customer 041"/>
    <x v="2"/>
    <x v="0"/>
    <s v="South Australia"/>
    <x v="2"/>
    <x v="5"/>
    <s v="Product Copiers 9"/>
    <n v="1"/>
    <n v="142"/>
    <n v="0.05"/>
    <n v="134.9"/>
    <n v="-8.23"/>
    <s v="Standard Class"/>
    <s v="Ava Williams"/>
  </r>
  <r>
    <s v="ORD-10154"/>
    <x v="153"/>
    <d v="2024-08-26T00:00:00"/>
    <s v="Customer 064"/>
    <x v="0"/>
    <x v="1"/>
    <s v="Northern Territory"/>
    <x v="0"/>
    <x v="6"/>
    <s v="Product Tables 10"/>
    <n v="4"/>
    <n v="189"/>
    <n v="0.1"/>
    <n v="680.4"/>
    <n v="80.290000000000006"/>
    <s v="Second Class"/>
    <s v="Noah Brown"/>
  </r>
  <r>
    <s v="ORD-10155"/>
    <x v="154"/>
    <d v="2024-08-31T00:00:00"/>
    <s v="Customer 087"/>
    <x v="1"/>
    <x v="2"/>
    <s v="Tasmania"/>
    <x v="1"/>
    <x v="7"/>
    <s v="Product Paper 11"/>
    <n v="7"/>
    <n v="236"/>
    <n v="0.15"/>
    <n v="1404.2"/>
    <n v="276.63"/>
    <s v="First Class"/>
    <s v="Mia Taylor"/>
  </r>
  <r>
    <s v="ORD-10156"/>
    <x v="155"/>
    <d v="2024-08-27T00:00:00"/>
    <s v="Customer 014"/>
    <x v="2"/>
    <x v="3"/>
    <s v="Western Australia"/>
    <x v="2"/>
    <x v="8"/>
    <s v="Product Accessories 12"/>
    <n v="2"/>
    <n v="283"/>
    <n v="0.2"/>
    <n v="452.8"/>
    <n v="57.05"/>
    <s v="Same Day"/>
    <s v="Liam Wilson"/>
  </r>
  <r>
    <s v="ORD-10157"/>
    <x v="156"/>
    <d v="2024-09-01T00:00:00"/>
    <s v="Customer 037"/>
    <x v="0"/>
    <x v="0"/>
    <s v="Victoria"/>
    <x v="0"/>
    <x v="6"/>
    <s v="Product Tables 1"/>
    <n v="5"/>
    <n v="330"/>
    <n v="0"/>
    <n v="1650"/>
    <n v="297"/>
    <s v="Standard Class"/>
    <s v="Ava Williams"/>
  </r>
  <r>
    <s v="ORD-10158"/>
    <x v="157"/>
    <d v="2024-09-05T00:00:00"/>
    <s v="Customer 060"/>
    <x v="1"/>
    <x v="1"/>
    <s v="Queensland"/>
    <x v="1"/>
    <x v="7"/>
    <s v="Product Paper 2"/>
    <n v="8"/>
    <n v="377"/>
    <n v="0"/>
    <n v="3016"/>
    <n v="874.64"/>
    <s v="Second Class"/>
    <s v="Noah Brown"/>
  </r>
  <r>
    <s v="ORD-10159"/>
    <x v="158"/>
    <d v="2024-09-02T00:00:00"/>
    <s v="Customer 083"/>
    <x v="2"/>
    <x v="2"/>
    <s v="New South Wales"/>
    <x v="2"/>
    <x v="8"/>
    <s v="Product Accessories 3"/>
    <n v="3"/>
    <n v="424"/>
    <n v="0.05"/>
    <n v="1208.4000000000001"/>
    <n v="264.64"/>
    <s v="First Class"/>
    <s v="Mia Taylor"/>
  </r>
  <r>
    <s v="ORD-10160"/>
    <x v="159"/>
    <d v="2024-09-06T00:00:00"/>
    <s v="Customer 010"/>
    <x v="0"/>
    <x v="3"/>
    <s v="Australian Capital Territory"/>
    <x v="0"/>
    <x v="6"/>
    <s v="Product Tables 4"/>
    <n v="6"/>
    <n v="471"/>
    <n v="0.1"/>
    <n v="2543.4"/>
    <n v="300.12"/>
    <s v="Same Day"/>
    <s v="Liam Wilson"/>
  </r>
  <r>
    <s v="ORD-10161"/>
    <x v="160"/>
    <d v="2024-09-03T00:00:00"/>
    <s v="Customer 033"/>
    <x v="1"/>
    <x v="0"/>
    <s v="South Australia"/>
    <x v="1"/>
    <x v="7"/>
    <s v="Product Paper 5"/>
    <n v="1"/>
    <n v="518"/>
    <n v="0.15"/>
    <n v="440.3"/>
    <n v="86.74"/>
    <s v="Standard Class"/>
    <s v="Ava Williams"/>
  </r>
  <r>
    <s v="ORD-10162"/>
    <x v="161"/>
    <d v="2024-09-07T00:00:00"/>
    <s v="Customer 056"/>
    <x v="2"/>
    <x v="1"/>
    <s v="Northern Territory"/>
    <x v="2"/>
    <x v="8"/>
    <s v="Product Accessories 6"/>
    <n v="4"/>
    <n v="565"/>
    <n v="0.2"/>
    <n v="1808"/>
    <n v="227.81"/>
    <s v="Second Class"/>
    <s v="Noah Brown"/>
  </r>
  <r>
    <s v="ORD-10163"/>
    <x v="162"/>
    <d v="2024-09-12T00:00:00"/>
    <s v="Customer 079"/>
    <x v="0"/>
    <x v="2"/>
    <s v="Tasmania"/>
    <x v="0"/>
    <x v="0"/>
    <s v="Product Bookcases 7"/>
    <n v="7"/>
    <n v="612"/>
    <n v="0"/>
    <n v="4284"/>
    <n v="771.12"/>
    <s v="First Class"/>
    <s v="Mia Taylor"/>
  </r>
  <r>
    <s v="ORD-10164"/>
    <x v="163"/>
    <d v="2024-09-08T00:00:00"/>
    <s v="Customer 006"/>
    <x v="1"/>
    <x v="3"/>
    <s v="Western Australia"/>
    <x v="1"/>
    <x v="1"/>
    <s v="Product Storage 8"/>
    <n v="2"/>
    <n v="659"/>
    <n v="0"/>
    <n v="1318"/>
    <n v="382.22"/>
    <s v="Same Day"/>
    <s v="Liam Wilson"/>
  </r>
  <r>
    <s v="ORD-10165"/>
    <x v="164"/>
    <d v="2024-09-13T00:00:00"/>
    <s v="Customer 029"/>
    <x v="2"/>
    <x v="0"/>
    <s v="Victoria"/>
    <x v="2"/>
    <x v="2"/>
    <s v="Product Phones 9"/>
    <n v="5"/>
    <n v="706"/>
    <n v="0.05"/>
    <n v="3353.5"/>
    <n v="734.42"/>
    <s v="Standard Class"/>
    <s v="Ava Williams"/>
  </r>
  <r>
    <s v="ORD-10166"/>
    <x v="165"/>
    <d v="2024-09-17T00:00:00"/>
    <s v="Customer 052"/>
    <x v="0"/>
    <x v="1"/>
    <s v="Queensland"/>
    <x v="0"/>
    <x v="0"/>
    <s v="Product Bookcases 10"/>
    <n v="8"/>
    <n v="753"/>
    <n v="0.1"/>
    <n v="5421.6"/>
    <n v="639.75"/>
    <s v="Second Class"/>
    <s v="Noah Brown"/>
  </r>
  <r>
    <s v="ORD-10167"/>
    <x v="166"/>
    <d v="2024-09-14T00:00:00"/>
    <s v="Customer 075"/>
    <x v="1"/>
    <x v="2"/>
    <s v="New South Wales"/>
    <x v="1"/>
    <x v="1"/>
    <s v="Product Storage 11"/>
    <n v="3"/>
    <n v="20"/>
    <n v="0.15"/>
    <n v="51"/>
    <n v="10.050000000000001"/>
    <s v="First Class"/>
    <s v="Mia Taylor"/>
  </r>
  <r>
    <s v="ORD-10168"/>
    <x v="167"/>
    <d v="2024-09-18T00:00:00"/>
    <s v="Customer 002"/>
    <x v="2"/>
    <x v="3"/>
    <s v="Australian Capital Territory"/>
    <x v="2"/>
    <x v="2"/>
    <s v="Product Phones 12"/>
    <n v="6"/>
    <n v="67"/>
    <n v="0.2"/>
    <n v="321.60000000000002"/>
    <n v="40.520000000000003"/>
    <s v="Same Day"/>
    <s v="Liam Wilson"/>
  </r>
  <r>
    <s v="ORD-10169"/>
    <x v="168"/>
    <d v="2024-09-15T00:00:00"/>
    <s v="Customer 025"/>
    <x v="0"/>
    <x v="0"/>
    <s v="South Australia"/>
    <x v="0"/>
    <x v="0"/>
    <s v="Product Bookcases 1"/>
    <n v="1"/>
    <n v="114"/>
    <n v="0"/>
    <n v="114"/>
    <n v="20.52"/>
    <s v="Standard Class"/>
    <s v="Ava Williams"/>
  </r>
  <r>
    <s v="ORD-10170"/>
    <x v="169"/>
    <d v="2024-09-19T00:00:00"/>
    <s v="Customer 048"/>
    <x v="1"/>
    <x v="1"/>
    <s v="Northern Territory"/>
    <x v="1"/>
    <x v="1"/>
    <s v="Product Storage 2"/>
    <n v="4"/>
    <n v="161"/>
    <n v="0"/>
    <n v="644"/>
    <n v="186.76"/>
    <s v="Second Class"/>
    <s v="Noah Brown"/>
  </r>
  <r>
    <s v="ORD-10171"/>
    <x v="170"/>
    <d v="2024-09-24T00:00:00"/>
    <s v="Customer 071"/>
    <x v="2"/>
    <x v="2"/>
    <s v="Tasmania"/>
    <x v="2"/>
    <x v="2"/>
    <s v="Product Phones 3"/>
    <n v="7"/>
    <n v="208"/>
    <n v="0.05"/>
    <n v="1383.2"/>
    <n v="302.92"/>
    <s v="First Class"/>
    <s v="Mia Taylor"/>
  </r>
  <r>
    <s v="ORD-10172"/>
    <x v="171"/>
    <d v="2024-09-20T00:00:00"/>
    <s v="Customer 094"/>
    <x v="0"/>
    <x v="3"/>
    <s v="Western Australia"/>
    <x v="0"/>
    <x v="3"/>
    <s v="Product Chairs 4"/>
    <n v="2"/>
    <n v="255"/>
    <n v="0.1"/>
    <n v="459"/>
    <n v="-74.36"/>
    <s v="Same Day"/>
    <s v="Liam Wilson"/>
  </r>
  <r>
    <s v="ORD-10173"/>
    <x v="172"/>
    <d v="2024-09-25T00:00:00"/>
    <s v="Customer 021"/>
    <x v="1"/>
    <x v="0"/>
    <s v="Victoria"/>
    <x v="1"/>
    <x v="4"/>
    <s v="Product Binders 5"/>
    <n v="5"/>
    <n v="302"/>
    <n v="0.15"/>
    <n v="1283.5"/>
    <n v="252.85"/>
    <s v="Standard Class"/>
    <s v="Ava Williams"/>
  </r>
  <r>
    <s v="ORD-10174"/>
    <x v="173"/>
    <d v="2024-09-29T00:00:00"/>
    <s v="Customer 044"/>
    <x v="2"/>
    <x v="1"/>
    <s v="Queensland"/>
    <x v="2"/>
    <x v="5"/>
    <s v="Product Copiers 6"/>
    <n v="8"/>
    <n v="349"/>
    <n v="0.2"/>
    <n v="2233.6"/>
    <n v="281.43"/>
    <s v="Second Class"/>
    <s v="Noah Brown"/>
  </r>
  <r>
    <s v="ORD-10175"/>
    <x v="174"/>
    <d v="2024-09-26T00:00:00"/>
    <s v="Customer 067"/>
    <x v="0"/>
    <x v="2"/>
    <s v="New South Wales"/>
    <x v="0"/>
    <x v="3"/>
    <s v="Product Chairs 7"/>
    <n v="3"/>
    <n v="396"/>
    <n v="0"/>
    <n v="1188"/>
    <n v="213.84"/>
    <s v="First Class"/>
    <s v="Mia Taylor"/>
  </r>
  <r>
    <s v="ORD-10176"/>
    <x v="175"/>
    <d v="2024-09-30T00:00:00"/>
    <s v="Customer 090"/>
    <x v="1"/>
    <x v="3"/>
    <s v="Australian Capital Territory"/>
    <x v="1"/>
    <x v="4"/>
    <s v="Product Binders 8"/>
    <n v="6"/>
    <n v="443"/>
    <n v="0"/>
    <n v="2658"/>
    <n v="770.82"/>
    <s v="Same Day"/>
    <s v="Liam Wilson"/>
  </r>
  <r>
    <s v="ORD-10177"/>
    <x v="176"/>
    <d v="2024-09-27T00:00:00"/>
    <s v="Customer 017"/>
    <x v="2"/>
    <x v="0"/>
    <s v="South Australia"/>
    <x v="2"/>
    <x v="5"/>
    <s v="Product Copiers 9"/>
    <n v="1"/>
    <n v="490"/>
    <n v="0.05"/>
    <n v="465.5"/>
    <n v="101.94"/>
    <s v="Standard Class"/>
    <s v="Ava Williams"/>
  </r>
  <r>
    <s v="ORD-10178"/>
    <x v="177"/>
    <d v="2024-10-02T00:00:00"/>
    <s v="Customer 040"/>
    <x v="0"/>
    <x v="1"/>
    <s v="Northern Territory"/>
    <x v="0"/>
    <x v="3"/>
    <s v="Product Chairs 10"/>
    <n v="4"/>
    <n v="537"/>
    <n v="0.1"/>
    <n v="1933.2"/>
    <n v="228.12"/>
    <s v="Second Class"/>
    <s v="Noah Brown"/>
  </r>
  <r>
    <s v="ORD-10179"/>
    <x v="178"/>
    <d v="2024-10-06T00:00:00"/>
    <s v="Customer 063"/>
    <x v="1"/>
    <x v="2"/>
    <s v="Tasmania"/>
    <x v="1"/>
    <x v="4"/>
    <s v="Product Binders 11"/>
    <n v="7"/>
    <n v="584"/>
    <n v="0.15"/>
    <n v="3474.8"/>
    <n v="684.54"/>
    <s v="First Class"/>
    <s v="Mia Taylor"/>
  </r>
  <r>
    <s v="ORD-10180"/>
    <x v="179"/>
    <d v="2024-10-03T00:00:00"/>
    <s v="Customer 086"/>
    <x v="2"/>
    <x v="3"/>
    <s v="Western Australia"/>
    <x v="2"/>
    <x v="5"/>
    <s v="Product Copiers 12"/>
    <n v="2"/>
    <n v="631"/>
    <n v="0.2"/>
    <n v="1009.6"/>
    <n v="127.21"/>
    <s v="Same Day"/>
    <s v="Liam Wilson"/>
  </r>
  <r>
    <s v="ORD-10181"/>
    <x v="180"/>
    <d v="2024-10-07T00:00:00"/>
    <s v="Customer 013"/>
    <x v="0"/>
    <x v="0"/>
    <s v="Victoria"/>
    <x v="0"/>
    <x v="6"/>
    <s v="Product Tables 1"/>
    <n v="5"/>
    <n v="678"/>
    <n v="0"/>
    <n v="3390"/>
    <n v="610.20000000000005"/>
    <s v="Standard Class"/>
    <s v="Ava Williams"/>
  </r>
  <r>
    <s v="ORD-10182"/>
    <x v="181"/>
    <d v="2024-10-12T00:00:00"/>
    <s v="Customer 036"/>
    <x v="1"/>
    <x v="1"/>
    <s v="Queensland"/>
    <x v="1"/>
    <x v="7"/>
    <s v="Product Paper 2"/>
    <n v="8"/>
    <n v="725"/>
    <n v="0"/>
    <n v="5800"/>
    <n v="1682"/>
    <s v="Second Class"/>
    <s v="Noah Brown"/>
  </r>
  <r>
    <s v="ORD-10183"/>
    <x v="182"/>
    <d v="2024-10-08T00:00:00"/>
    <s v="Customer 059"/>
    <x v="2"/>
    <x v="2"/>
    <s v="New South Wales"/>
    <x v="2"/>
    <x v="8"/>
    <s v="Product Accessories 3"/>
    <n v="3"/>
    <n v="772"/>
    <n v="0.05"/>
    <n v="2200.1999999999998"/>
    <n v="481.84"/>
    <s v="First Class"/>
    <s v="Mia Taylor"/>
  </r>
  <r>
    <s v="ORD-10184"/>
    <x v="183"/>
    <d v="2024-10-13T00:00:00"/>
    <s v="Customer 082"/>
    <x v="0"/>
    <x v="3"/>
    <s v="Australian Capital Territory"/>
    <x v="0"/>
    <x v="6"/>
    <s v="Product Tables 4"/>
    <n v="6"/>
    <n v="39"/>
    <n v="0.1"/>
    <n v="210.6"/>
    <n v="24.85"/>
    <s v="Same Day"/>
    <s v="Liam Wilson"/>
  </r>
  <r>
    <s v="ORD-10185"/>
    <x v="184"/>
    <d v="2024-10-09T00:00:00"/>
    <s v="Customer 009"/>
    <x v="1"/>
    <x v="0"/>
    <s v="South Australia"/>
    <x v="1"/>
    <x v="7"/>
    <s v="Product Paper 5"/>
    <n v="1"/>
    <n v="86"/>
    <n v="0.15"/>
    <n v="73.099999999999994"/>
    <n v="14.4"/>
    <s v="Standard Class"/>
    <s v="Ava Williams"/>
  </r>
  <r>
    <s v="ORD-10186"/>
    <x v="185"/>
    <d v="2024-10-14T00:00:00"/>
    <s v="Customer 032"/>
    <x v="2"/>
    <x v="1"/>
    <s v="Northern Territory"/>
    <x v="2"/>
    <x v="8"/>
    <s v="Product Accessories 6"/>
    <n v="4"/>
    <n v="133"/>
    <n v="0.2"/>
    <n v="425.6"/>
    <n v="53.63"/>
    <s v="Second Class"/>
    <s v="Noah Brown"/>
  </r>
  <r>
    <s v="ORD-10187"/>
    <x v="186"/>
    <d v="2024-10-18T00:00:00"/>
    <s v="Customer 055"/>
    <x v="0"/>
    <x v="2"/>
    <s v="Tasmania"/>
    <x v="0"/>
    <x v="6"/>
    <s v="Product Tables 7"/>
    <n v="7"/>
    <n v="180"/>
    <n v="0"/>
    <n v="1260"/>
    <n v="226.8"/>
    <s v="First Class"/>
    <s v="Mia Taylor"/>
  </r>
  <r>
    <s v="ORD-10188"/>
    <x v="187"/>
    <d v="2024-10-15T00:00:00"/>
    <s v="Customer 078"/>
    <x v="1"/>
    <x v="3"/>
    <s v="Western Australia"/>
    <x v="1"/>
    <x v="7"/>
    <s v="Product Paper 8"/>
    <n v="2"/>
    <n v="227"/>
    <n v="0"/>
    <n v="454"/>
    <n v="131.66"/>
    <s v="Same Day"/>
    <s v="Liam Wilson"/>
  </r>
  <r>
    <s v="ORD-10189"/>
    <x v="188"/>
    <d v="2024-10-19T00:00:00"/>
    <s v="Customer 005"/>
    <x v="2"/>
    <x v="0"/>
    <s v="Victoria"/>
    <x v="2"/>
    <x v="8"/>
    <s v="Product Accessories 9"/>
    <n v="5"/>
    <n v="274"/>
    <n v="0.05"/>
    <n v="1301.5"/>
    <n v="285.02999999999997"/>
    <s v="Standard Class"/>
    <s v="Ava Williams"/>
  </r>
  <r>
    <s v="ORD-10190"/>
    <x v="189"/>
    <d v="2024-10-24T00:00:00"/>
    <s v="Customer 028"/>
    <x v="0"/>
    <x v="1"/>
    <s v="Queensland"/>
    <x v="0"/>
    <x v="0"/>
    <s v="Product Bookcases 10"/>
    <n v="8"/>
    <n v="321"/>
    <n v="0.1"/>
    <n v="2311.1999999999998"/>
    <n v="272.72000000000003"/>
    <s v="Second Class"/>
    <s v="Noah Brown"/>
  </r>
  <r>
    <s v="ORD-10191"/>
    <x v="190"/>
    <d v="2024-10-20T00:00:00"/>
    <s v="Customer 051"/>
    <x v="1"/>
    <x v="2"/>
    <s v="New South Wales"/>
    <x v="1"/>
    <x v="1"/>
    <s v="Product Storage 11"/>
    <n v="3"/>
    <n v="368"/>
    <n v="0.15"/>
    <n v="938.4"/>
    <n v="-77.89"/>
    <s v="First Class"/>
    <s v="Mia Taylor"/>
  </r>
  <r>
    <s v="ORD-10192"/>
    <x v="191"/>
    <d v="2024-10-25T00:00:00"/>
    <s v="Customer 074"/>
    <x v="2"/>
    <x v="3"/>
    <s v="Australian Capital Territory"/>
    <x v="2"/>
    <x v="2"/>
    <s v="Product Phones 12"/>
    <n v="6"/>
    <n v="415"/>
    <n v="0.2"/>
    <n v="1992"/>
    <n v="250.99"/>
    <s v="Same Day"/>
    <s v="Liam Wilson"/>
  </r>
  <r>
    <s v="ORD-10193"/>
    <x v="192"/>
    <d v="2024-10-21T00:00:00"/>
    <s v="Customer 001"/>
    <x v="0"/>
    <x v="0"/>
    <s v="South Australia"/>
    <x v="0"/>
    <x v="0"/>
    <s v="Product Bookcases 1"/>
    <n v="1"/>
    <n v="462"/>
    <n v="0"/>
    <n v="462"/>
    <n v="83.16"/>
    <s v="Standard Class"/>
    <s v="Ava Williams"/>
  </r>
  <r>
    <s v="ORD-10194"/>
    <x v="193"/>
    <d v="2024-10-26T00:00:00"/>
    <s v="Customer 024"/>
    <x v="1"/>
    <x v="1"/>
    <s v="Northern Territory"/>
    <x v="1"/>
    <x v="1"/>
    <s v="Product Storage 2"/>
    <n v="4"/>
    <n v="509"/>
    <n v="0"/>
    <n v="2036"/>
    <n v="590.44000000000005"/>
    <s v="Second Class"/>
    <s v="Noah Brown"/>
  </r>
  <r>
    <s v="ORD-10195"/>
    <x v="194"/>
    <d v="2024-10-30T00:00:00"/>
    <s v="Customer 047"/>
    <x v="2"/>
    <x v="2"/>
    <s v="Tasmania"/>
    <x v="2"/>
    <x v="2"/>
    <s v="Product Phones 3"/>
    <n v="7"/>
    <n v="556"/>
    <n v="0.05"/>
    <n v="3697.4"/>
    <n v="809.73"/>
    <s v="First Class"/>
    <s v="Mia Taylor"/>
  </r>
  <r>
    <s v="ORD-10196"/>
    <x v="195"/>
    <d v="2024-10-27T00:00:00"/>
    <s v="Customer 070"/>
    <x v="0"/>
    <x v="3"/>
    <s v="Western Australia"/>
    <x v="0"/>
    <x v="0"/>
    <s v="Product Bookcases 4"/>
    <n v="2"/>
    <n v="603"/>
    <n v="0.1"/>
    <n v="1085.4000000000001"/>
    <n v="128.08000000000001"/>
    <s v="Same Day"/>
    <s v="Liam Wilson"/>
  </r>
  <r>
    <s v="ORD-10197"/>
    <x v="196"/>
    <d v="2024-10-31T00:00:00"/>
    <s v="Customer 093"/>
    <x v="1"/>
    <x v="0"/>
    <s v="Victoria"/>
    <x v="1"/>
    <x v="1"/>
    <s v="Product Storage 5"/>
    <n v="5"/>
    <n v="650"/>
    <n v="0.15"/>
    <n v="2762.5"/>
    <n v="544.21"/>
    <s v="Standard Class"/>
    <s v="Ava Williams"/>
  </r>
  <r>
    <s v="ORD-10198"/>
    <x v="197"/>
    <d v="2024-11-05T00:00:00"/>
    <s v="Customer 020"/>
    <x v="2"/>
    <x v="1"/>
    <s v="Queensland"/>
    <x v="2"/>
    <x v="2"/>
    <s v="Product Phones 6"/>
    <n v="8"/>
    <n v="697"/>
    <n v="0.2"/>
    <n v="4460.8"/>
    <n v="562.05999999999995"/>
    <s v="Second Class"/>
    <s v="Noah Brown"/>
  </r>
  <r>
    <s v="ORD-10199"/>
    <x v="198"/>
    <d v="2024-11-01T00:00:00"/>
    <s v="Customer 043"/>
    <x v="0"/>
    <x v="2"/>
    <s v="New South Wales"/>
    <x v="0"/>
    <x v="3"/>
    <s v="Product Chairs 7"/>
    <n v="3"/>
    <n v="744"/>
    <n v="0"/>
    <n v="2232"/>
    <n v="401.76"/>
    <s v="First Class"/>
    <s v="Mia Taylor"/>
  </r>
  <r>
    <s v="ORD-10200"/>
    <x v="199"/>
    <d v="2024-11-06T00:00:00"/>
    <s v="Customer 066"/>
    <x v="1"/>
    <x v="3"/>
    <s v="Australian Capital Territory"/>
    <x v="1"/>
    <x v="4"/>
    <s v="Product Binders 8"/>
    <n v="6"/>
    <n v="791"/>
    <n v="0"/>
    <n v="4746"/>
    <n v="1376.34"/>
    <s v="Same Day"/>
    <s v="Liam Wilson"/>
  </r>
  <r>
    <s v="ORD-10201"/>
    <x v="200"/>
    <d v="2024-11-02T00:00:00"/>
    <s v="Customer 089"/>
    <x v="2"/>
    <x v="0"/>
    <s v="South Australia"/>
    <x v="2"/>
    <x v="5"/>
    <s v="Product Copiers 9"/>
    <n v="1"/>
    <n v="58"/>
    <n v="0.05"/>
    <n v="55.1"/>
    <n v="12.07"/>
    <s v="Standard Class"/>
    <s v="Ava Williams"/>
  </r>
  <r>
    <s v="ORD-10202"/>
    <x v="201"/>
    <d v="2024-11-07T00:00:00"/>
    <s v="Customer 016"/>
    <x v="0"/>
    <x v="1"/>
    <s v="Northern Territory"/>
    <x v="0"/>
    <x v="3"/>
    <s v="Product Chairs 10"/>
    <n v="4"/>
    <n v="105"/>
    <n v="0.1"/>
    <n v="378"/>
    <n v="44.6"/>
    <s v="Second Class"/>
    <s v="Noah Brown"/>
  </r>
  <r>
    <s v="ORD-10203"/>
    <x v="202"/>
    <d v="2024-11-12T00:00:00"/>
    <s v="Customer 039"/>
    <x v="1"/>
    <x v="2"/>
    <s v="Tasmania"/>
    <x v="1"/>
    <x v="4"/>
    <s v="Product Binders 11"/>
    <n v="7"/>
    <n v="152"/>
    <n v="0.15"/>
    <n v="904.4"/>
    <n v="178.17"/>
    <s v="First Class"/>
    <s v="Mia Taylor"/>
  </r>
  <r>
    <s v="ORD-10204"/>
    <x v="203"/>
    <d v="2024-11-08T00:00:00"/>
    <s v="Customer 062"/>
    <x v="2"/>
    <x v="3"/>
    <s v="Western Australia"/>
    <x v="2"/>
    <x v="5"/>
    <s v="Product Copiers 12"/>
    <n v="2"/>
    <n v="199"/>
    <n v="0.2"/>
    <n v="318.39999999999998"/>
    <n v="40.119999999999997"/>
    <s v="Same Day"/>
    <s v="Liam Wilson"/>
  </r>
  <r>
    <s v="ORD-10205"/>
    <x v="204"/>
    <d v="2024-11-13T00:00:00"/>
    <s v="Customer 085"/>
    <x v="0"/>
    <x v="0"/>
    <s v="Victoria"/>
    <x v="0"/>
    <x v="3"/>
    <s v="Product Chairs 1"/>
    <n v="5"/>
    <n v="246"/>
    <n v="0"/>
    <n v="1230"/>
    <n v="221.4"/>
    <s v="Standard Class"/>
    <s v="Ava Williams"/>
  </r>
  <r>
    <s v="ORD-10206"/>
    <x v="205"/>
    <d v="2024-11-17T00:00:00"/>
    <s v="Customer 012"/>
    <x v="1"/>
    <x v="1"/>
    <s v="Queensland"/>
    <x v="1"/>
    <x v="4"/>
    <s v="Product Binders 2"/>
    <n v="8"/>
    <n v="293"/>
    <n v="0"/>
    <n v="2344"/>
    <n v="679.76"/>
    <s v="Second Class"/>
    <s v="Noah Brown"/>
  </r>
  <r>
    <s v="ORD-10207"/>
    <x v="206"/>
    <d v="2024-11-14T00:00:00"/>
    <s v="Customer 035"/>
    <x v="2"/>
    <x v="2"/>
    <s v="New South Wales"/>
    <x v="2"/>
    <x v="5"/>
    <s v="Product Copiers 3"/>
    <n v="3"/>
    <n v="340"/>
    <n v="0.05"/>
    <n v="969"/>
    <n v="212.21"/>
    <s v="First Class"/>
    <s v="Mia Taylor"/>
  </r>
  <r>
    <s v="ORD-10208"/>
    <x v="207"/>
    <d v="2024-11-18T00:00:00"/>
    <s v="Customer 058"/>
    <x v="0"/>
    <x v="3"/>
    <s v="Australian Capital Territory"/>
    <x v="0"/>
    <x v="6"/>
    <s v="Product Tables 4"/>
    <n v="6"/>
    <n v="387"/>
    <n v="0.1"/>
    <n v="2089.8000000000002"/>
    <n v="246.6"/>
    <s v="Same Day"/>
    <s v="Liam Wilson"/>
  </r>
  <r>
    <s v="ORD-10209"/>
    <x v="208"/>
    <d v="2024-11-15T00:00:00"/>
    <s v="Customer 081"/>
    <x v="1"/>
    <x v="0"/>
    <s v="South Australia"/>
    <x v="1"/>
    <x v="7"/>
    <s v="Product Paper 5"/>
    <n v="1"/>
    <n v="434"/>
    <n v="0.15"/>
    <n v="368.9"/>
    <n v="72.67"/>
    <s v="Standard Class"/>
    <s v="Ava Williams"/>
  </r>
  <r>
    <s v="ORD-10210"/>
    <x v="209"/>
    <d v="2024-11-19T00:00:00"/>
    <s v="Customer 008"/>
    <x v="2"/>
    <x v="1"/>
    <s v="Northern Territory"/>
    <x v="2"/>
    <x v="8"/>
    <s v="Product Accessories 6"/>
    <n v="4"/>
    <n v="481"/>
    <n v="0.2"/>
    <n v="1539.2"/>
    <n v="-237.04"/>
    <s v="Second Class"/>
    <s v="Noah Brown"/>
  </r>
  <r>
    <s v="ORD-10211"/>
    <x v="210"/>
    <d v="2024-11-24T00:00:00"/>
    <s v="Customer 031"/>
    <x v="0"/>
    <x v="2"/>
    <s v="Tasmania"/>
    <x v="0"/>
    <x v="6"/>
    <s v="Product Tables 7"/>
    <n v="7"/>
    <n v="528"/>
    <n v="0"/>
    <n v="3696"/>
    <n v="665.28"/>
    <s v="First Class"/>
    <s v="Mia Taylor"/>
  </r>
  <r>
    <s v="ORD-10212"/>
    <x v="211"/>
    <d v="2024-11-20T00:00:00"/>
    <s v="Customer 054"/>
    <x v="1"/>
    <x v="3"/>
    <s v="Western Australia"/>
    <x v="1"/>
    <x v="7"/>
    <s v="Product Paper 8"/>
    <n v="2"/>
    <n v="575"/>
    <n v="0"/>
    <n v="1150"/>
    <n v="333.5"/>
    <s v="Same Day"/>
    <s v="Liam Wilson"/>
  </r>
  <r>
    <s v="ORD-10213"/>
    <x v="212"/>
    <d v="2024-11-25T00:00:00"/>
    <s v="Customer 077"/>
    <x v="2"/>
    <x v="0"/>
    <s v="Victoria"/>
    <x v="2"/>
    <x v="8"/>
    <s v="Product Accessories 9"/>
    <n v="5"/>
    <n v="622"/>
    <n v="0.05"/>
    <n v="2954.5"/>
    <n v="647.04"/>
    <s v="Standard Class"/>
    <s v="Ava Williams"/>
  </r>
  <r>
    <s v="ORD-10214"/>
    <x v="213"/>
    <d v="2024-11-29T00:00:00"/>
    <s v="Customer 004"/>
    <x v="0"/>
    <x v="1"/>
    <s v="Queensland"/>
    <x v="0"/>
    <x v="6"/>
    <s v="Product Tables 10"/>
    <n v="8"/>
    <n v="669"/>
    <n v="0.1"/>
    <n v="4816.8"/>
    <n v="568.38"/>
    <s v="Second Class"/>
    <s v="Noah Brown"/>
  </r>
  <r>
    <s v="ORD-10215"/>
    <x v="214"/>
    <d v="2024-11-26T00:00:00"/>
    <s v="Customer 027"/>
    <x v="1"/>
    <x v="2"/>
    <s v="New South Wales"/>
    <x v="1"/>
    <x v="7"/>
    <s v="Product Paper 11"/>
    <n v="3"/>
    <n v="716"/>
    <n v="0.15"/>
    <n v="1825.8"/>
    <n v="359.68"/>
    <s v="First Class"/>
    <s v="Mia Taylor"/>
  </r>
  <r>
    <s v="ORD-10216"/>
    <x v="215"/>
    <d v="2024-11-30T00:00:00"/>
    <s v="Customer 050"/>
    <x v="2"/>
    <x v="3"/>
    <s v="Australian Capital Territory"/>
    <x v="2"/>
    <x v="8"/>
    <s v="Product Accessories 12"/>
    <n v="6"/>
    <n v="763"/>
    <n v="0.2"/>
    <n v="3662.4"/>
    <n v="461.46"/>
    <s v="Same Day"/>
    <s v="Liam Wilson"/>
  </r>
  <r>
    <s v="ORD-10217"/>
    <x v="216"/>
    <d v="2024-11-27T00:00:00"/>
    <s v="Customer 073"/>
    <x v="0"/>
    <x v="0"/>
    <s v="South Australia"/>
    <x v="0"/>
    <x v="0"/>
    <s v="Product Bookcases 1"/>
    <n v="1"/>
    <n v="30"/>
    <n v="0"/>
    <n v="30"/>
    <n v="5.4"/>
    <s v="Standard Class"/>
    <s v="Ava Williams"/>
  </r>
  <r>
    <s v="ORD-10218"/>
    <x v="217"/>
    <d v="2024-12-01T00:00:00"/>
    <s v="Customer 096"/>
    <x v="1"/>
    <x v="1"/>
    <s v="Northern Territory"/>
    <x v="1"/>
    <x v="1"/>
    <s v="Product Storage 2"/>
    <n v="4"/>
    <n v="77"/>
    <n v="0"/>
    <n v="308"/>
    <n v="89.32"/>
    <s v="Second Class"/>
    <s v="Noah Brown"/>
  </r>
  <r>
    <s v="ORD-10219"/>
    <x v="218"/>
    <d v="2024-12-06T00:00:00"/>
    <s v="Customer 023"/>
    <x v="2"/>
    <x v="2"/>
    <s v="Tasmania"/>
    <x v="2"/>
    <x v="2"/>
    <s v="Product Phones 3"/>
    <n v="7"/>
    <n v="124"/>
    <n v="0.05"/>
    <n v="824.6"/>
    <n v="180.59"/>
    <s v="First Class"/>
    <s v="Mia Taylor"/>
  </r>
  <r>
    <s v="ORD-10220"/>
    <x v="219"/>
    <d v="2024-12-02T00:00:00"/>
    <s v="Customer 046"/>
    <x v="0"/>
    <x v="3"/>
    <s v="Western Australia"/>
    <x v="0"/>
    <x v="0"/>
    <s v="Product Bookcases 4"/>
    <n v="2"/>
    <n v="171"/>
    <n v="0.1"/>
    <n v="307.8"/>
    <n v="36.32"/>
    <s v="Same Day"/>
    <s v="Liam Wilson"/>
  </r>
  <r>
    <s v="ORD-10221"/>
    <x v="220"/>
    <d v="2024-12-07T00:00:00"/>
    <s v="Customer 069"/>
    <x v="1"/>
    <x v="0"/>
    <s v="Victoria"/>
    <x v="1"/>
    <x v="1"/>
    <s v="Product Storage 5"/>
    <n v="5"/>
    <n v="218"/>
    <n v="0.15"/>
    <n v="926.5"/>
    <n v="182.52"/>
    <s v="Standard Class"/>
    <s v="Ava Williams"/>
  </r>
  <r>
    <s v="ORD-10222"/>
    <x v="221"/>
    <d v="2024-12-11T00:00:00"/>
    <s v="Customer 092"/>
    <x v="2"/>
    <x v="1"/>
    <s v="Queensland"/>
    <x v="2"/>
    <x v="2"/>
    <s v="Product Phones 6"/>
    <n v="8"/>
    <n v="265"/>
    <n v="0.2"/>
    <n v="1696"/>
    <n v="213.7"/>
    <s v="Second Class"/>
    <s v="Noah Brown"/>
  </r>
  <r>
    <s v="ORD-10223"/>
    <x v="222"/>
    <d v="2024-12-08T00:00:00"/>
    <s v="Customer 019"/>
    <x v="0"/>
    <x v="2"/>
    <s v="New South Wales"/>
    <x v="0"/>
    <x v="0"/>
    <s v="Product Bookcases 7"/>
    <n v="3"/>
    <n v="312"/>
    <n v="0"/>
    <n v="936"/>
    <n v="168.48"/>
    <s v="First Class"/>
    <s v="Mia Taylor"/>
  </r>
  <r>
    <s v="ORD-10224"/>
    <x v="223"/>
    <d v="2024-12-12T00:00:00"/>
    <s v="Customer 042"/>
    <x v="1"/>
    <x v="3"/>
    <s v="Australian Capital Territory"/>
    <x v="1"/>
    <x v="1"/>
    <s v="Product Storage 8"/>
    <n v="6"/>
    <n v="359"/>
    <n v="0"/>
    <n v="2154"/>
    <n v="624.66"/>
    <s v="Same Day"/>
    <s v="Liam Wilson"/>
  </r>
  <r>
    <s v="ORD-10225"/>
    <x v="224"/>
    <d v="2024-12-09T00:00:00"/>
    <s v="Customer 065"/>
    <x v="2"/>
    <x v="0"/>
    <s v="South Australia"/>
    <x v="2"/>
    <x v="2"/>
    <s v="Product Phones 9"/>
    <n v="1"/>
    <n v="406"/>
    <n v="0.05"/>
    <n v="385.7"/>
    <n v="84.47"/>
    <s v="Standard Class"/>
    <s v="Ava Williams"/>
  </r>
  <r>
    <s v="ORD-10226"/>
    <x v="225"/>
    <d v="2024-12-13T00:00:00"/>
    <s v="Customer 088"/>
    <x v="0"/>
    <x v="1"/>
    <s v="Northern Territory"/>
    <x v="0"/>
    <x v="3"/>
    <s v="Product Chairs 10"/>
    <n v="4"/>
    <n v="453"/>
    <n v="0.1"/>
    <n v="1630.8"/>
    <n v="192.43"/>
    <s v="Second Class"/>
    <s v="Noah Brown"/>
  </r>
  <r>
    <s v="ORD-10227"/>
    <x v="226"/>
    <d v="2024-12-18T00:00:00"/>
    <s v="Customer 015"/>
    <x v="1"/>
    <x v="2"/>
    <s v="Tasmania"/>
    <x v="1"/>
    <x v="4"/>
    <s v="Product Binders 11"/>
    <n v="7"/>
    <n v="500"/>
    <n v="0.15"/>
    <n v="2975"/>
    <n v="586.07000000000005"/>
    <s v="First Class"/>
    <s v="Mia Taylor"/>
  </r>
  <r>
    <s v="ORD-10228"/>
    <x v="227"/>
    <d v="2024-12-15T00:00:00"/>
    <s v="Customer 038"/>
    <x v="2"/>
    <x v="3"/>
    <s v="Western Australia"/>
    <x v="2"/>
    <x v="5"/>
    <s v="Product Copiers 12"/>
    <n v="2"/>
    <n v="547"/>
    <n v="0.2"/>
    <n v="875.2"/>
    <n v="110.28"/>
    <s v="Same Day"/>
    <s v="Liam Wilson"/>
  </r>
  <r>
    <s v="ORD-10229"/>
    <x v="228"/>
    <d v="2024-12-19T00:00:00"/>
    <s v="Customer 061"/>
    <x v="0"/>
    <x v="0"/>
    <s v="Victoria"/>
    <x v="0"/>
    <x v="3"/>
    <s v="Product Chairs 1"/>
    <n v="5"/>
    <n v="594"/>
    <n v="0"/>
    <n v="2970"/>
    <n v="-297"/>
    <s v="Standard Class"/>
    <s v="Ava Williams"/>
  </r>
  <r>
    <s v="ORD-10230"/>
    <x v="229"/>
    <d v="2024-12-24T00:00:00"/>
    <s v="Customer 084"/>
    <x v="1"/>
    <x v="1"/>
    <s v="Queensland"/>
    <x v="1"/>
    <x v="4"/>
    <s v="Product Binders 2"/>
    <n v="8"/>
    <n v="641"/>
    <n v="0"/>
    <n v="5128"/>
    <n v="1487.12"/>
    <s v="Second Class"/>
    <s v="Noah Brown"/>
  </r>
  <r>
    <s v="ORD-10231"/>
    <x v="230"/>
    <d v="2024-12-20T00:00:00"/>
    <s v="Customer 011"/>
    <x v="2"/>
    <x v="2"/>
    <s v="New South Wales"/>
    <x v="2"/>
    <x v="5"/>
    <s v="Product Copiers 3"/>
    <n v="3"/>
    <n v="688"/>
    <n v="0.05"/>
    <n v="1960.8"/>
    <n v="429.42"/>
    <s v="First Class"/>
    <s v="Mia Taylor"/>
  </r>
  <r>
    <s v="ORD-10232"/>
    <x v="231"/>
    <d v="2024-12-25T00:00:00"/>
    <s v="Customer 034"/>
    <x v="0"/>
    <x v="3"/>
    <s v="Australian Capital Territory"/>
    <x v="0"/>
    <x v="3"/>
    <s v="Product Chairs 4"/>
    <n v="6"/>
    <n v="735"/>
    <n v="0.1"/>
    <n v="3969"/>
    <n v="468.34"/>
    <s v="Same Day"/>
    <s v="Liam Wilson"/>
  </r>
  <r>
    <s v="ORD-10233"/>
    <x v="232"/>
    <d v="2024-12-21T00:00:00"/>
    <s v="Customer 057"/>
    <x v="1"/>
    <x v="0"/>
    <s v="South Australia"/>
    <x v="1"/>
    <x v="4"/>
    <s v="Product Binders 5"/>
    <n v="1"/>
    <n v="782"/>
    <n v="0.15"/>
    <n v="664.7"/>
    <n v="130.94999999999999"/>
    <s v="Standard Class"/>
    <s v="Ava Williams"/>
  </r>
  <r>
    <s v="ORD-10234"/>
    <x v="233"/>
    <d v="2024-12-26T00:00:00"/>
    <s v="Customer 080"/>
    <x v="2"/>
    <x v="1"/>
    <s v="Northern Territory"/>
    <x v="2"/>
    <x v="5"/>
    <s v="Product Copiers 6"/>
    <n v="4"/>
    <n v="49"/>
    <n v="0.2"/>
    <n v="156.80000000000001"/>
    <n v="19.760000000000002"/>
    <s v="Second Class"/>
    <s v="Noah Brown"/>
  </r>
  <r>
    <s v="ORD-10235"/>
    <x v="234"/>
    <d v="2024-12-30T00:00:00"/>
    <s v="Customer 007"/>
    <x v="0"/>
    <x v="2"/>
    <s v="Tasmania"/>
    <x v="0"/>
    <x v="6"/>
    <s v="Product Tables 7"/>
    <n v="7"/>
    <n v="96"/>
    <n v="0"/>
    <n v="672"/>
    <n v="120.96"/>
    <s v="First Class"/>
    <s v="Mia Taylor"/>
  </r>
  <r>
    <s v="ORD-10236"/>
    <x v="235"/>
    <d v="2024-12-27T00:00:00"/>
    <s v="Customer 030"/>
    <x v="1"/>
    <x v="3"/>
    <s v="Western Australia"/>
    <x v="1"/>
    <x v="7"/>
    <s v="Product Paper 8"/>
    <n v="2"/>
    <n v="143"/>
    <n v="0"/>
    <n v="286"/>
    <n v="82.94"/>
    <s v="Same Day"/>
    <s v="Liam Wilson"/>
  </r>
  <r>
    <s v="ORD-10237"/>
    <x v="236"/>
    <d v="2024-12-31T00:00:00"/>
    <s v="Customer 053"/>
    <x v="2"/>
    <x v="0"/>
    <s v="Victoria"/>
    <x v="2"/>
    <x v="8"/>
    <s v="Product Accessories 9"/>
    <n v="5"/>
    <n v="190"/>
    <n v="0.05"/>
    <n v="902.5"/>
    <n v="197.65"/>
    <s v="Standard Class"/>
    <s v="Ava Williams"/>
  </r>
  <r>
    <s v="ORD-10238"/>
    <x v="237"/>
    <d v="2025-01-05T00:00:00"/>
    <s v="Customer 076"/>
    <x v="0"/>
    <x v="1"/>
    <s v="Queensland"/>
    <x v="0"/>
    <x v="6"/>
    <s v="Product Tables 10"/>
    <n v="8"/>
    <n v="237"/>
    <n v="0.1"/>
    <n v="1706.4"/>
    <n v="201.36"/>
    <s v="Second Class"/>
    <s v="Noah Brown"/>
  </r>
  <r>
    <s v="ORD-10239"/>
    <x v="238"/>
    <d v="2025-01-01T00:00:00"/>
    <s v="Customer 003"/>
    <x v="1"/>
    <x v="2"/>
    <s v="New South Wales"/>
    <x v="1"/>
    <x v="7"/>
    <s v="Product Paper 11"/>
    <n v="3"/>
    <n v="284"/>
    <n v="0.15"/>
    <n v="724.2"/>
    <n v="142.66999999999999"/>
    <s v="First Class"/>
    <s v="Mia Taylor"/>
  </r>
  <r>
    <s v="ORD-10240"/>
    <x v="239"/>
    <d v="2025-01-06T00:00:00"/>
    <s v="Customer 026"/>
    <x v="2"/>
    <x v="3"/>
    <s v="Australian Capital Territory"/>
    <x v="2"/>
    <x v="8"/>
    <s v="Product Accessories 12"/>
    <n v="6"/>
    <n v="331"/>
    <n v="0.2"/>
    <n v="1588.8"/>
    <n v="200.19"/>
    <s v="Same Day"/>
    <s v="Liam Wilson"/>
  </r>
  <r>
    <s v="ORD-10241"/>
    <x v="240"/>
    <d v="2025-01-02T00:00:00"/>
    <s v="Customer 049"/>
    <x v="0"/>
    <x v="0"/>
    <s v="South Australia"/>
    <x v="0"/>
    <x v="6"/>
    <s v="Product Tables 1"/>
    <n v="1"/>
    <n v="378"/>
    <n v="0"/>
    <n v="378"/>
    <n v="68.040000000000006"/>
    <s v="Standard Class"/>
    <s v="Ava Williams"/>
  </r>
  <r>
    <s v="ORD-10242"/>
    <x v="241"/>
    <d v="2025-01-07T00:00:00"/>
    <s v="Customer 072"/>
    <x v="1"/>
    <x v="1"/>
    <s v="Northern Territory"/>
    <x v="1"/>
    <x v="7"/>
    <s v="Product Paper 2"/>
    <n v="4"/>
    <n v="425"/>
    <n v="0"/>
    <n v="1700"/>
    <n v="493"/>
    <s v="Second Class"/>
    <s v="Noah Brown"/>
  </r>
  <r>
    <s v="ORD-10243"/>
    <x v="242"/>
    <d v="2025-01-11T00:00:00"/>
    <s v="Customer 095"/>
    <x v="2"/>
    <x v="2"/>
    <s v="Tasmania"/>
    <x v="2"/>
    <x v="8"/>
    <s v="Product Accessories 3"/>
    <n v="7"/>
    <n v="472"/>
    <n v="0.05"/>
    <n v="3138.8"/>
    <n v="687.4"/>
    <s v="First Class"/>
    <s v="Mia Taylor"/>
  </r>
  <r>
    <s v="ORD-10244"/>
    <x v="243"/>
    <d v="2025-01-08T00:00:00"/>
    <s v="Customer 022"/>
    <x v="0"/>
    <x v="3"/>
    <s v="Western Australia"/>
    <x v="0"/>
    <x v="0"/>
    <s v="Product Bookcases 4"/>
    <n v="2"/>
    <n v="519"/>
    <n v="0.1"/>
    <n v="934.2"/>
    <n v="110.24"/>
    <s v="Same Day"/>
    <s v="Liam Wilson"/>
  </r>
  <r>
    <s v="ORD-10245"/>
    <x v="244"/>
    <d v="2025-01-12T00:00:00"/>
    <s v="Customer 045"/>
    <x v="1"/>
    <x v="0"/>
    <s v="Victoria"/>
    <x v="1"/>
    <x v="1"/>
    <s v="Product Storage 5"/>
    <n v="5"/>
    <n v="566"/>
    <n v="0.15"/>
    <n v="2405.5"/>
    <n v="473.88"/>
    <s v="Standard Class"/>
    <s v="Ava Williams"/>
  </r>
  <r>
    <s v="ORD-10246"/>
    <x v="245"/>
    <d v="2025-01-17T00:00:00"/>
    <s v="Customer 068"/>
    <x v="2"/>
    <x v="1"/>
    <s v="Queensland"/>
    <x v="2"/>
    <x v="2"/>
    <s v="Product Phones 6"/>
    <n v="8"/>
    <n v="613"/>
    <n v="0.2"/>
    <n v="3923.2"/>
    <n v="494.32"/>
    <s v="Second Class"/>
    <s v="Noah Brown"/>
  </r>
  <r>
    <s v="ORD-10247"/>
    <x v="246"/>
    <d v="2025-01-13T00:00:00"/>
    <s v="Customer 091"/>
    <x v="0"/>
    <x v="2"/>
    <s v="New South Wales"/>
    <x v="0"/>
    <x v="0"/>
    <s v="Product Bookcases 7"/>
    <n v="3"/>
    <n v="660"/>
    <n v="0"/>
    <n v="1980"/>
    <n v="356.4"/>
    <s v="First Class"/>
    <s v="Mia Taylor"/>
  </r>
  <r>
    <s v="ORD-10248"/>
    <x v="247"/>
    <d v="2025-01-18T00:00:00"/>
    <s v="Customer 018"/>
    <x v="1"/>
    <x v="3"/>
    <s v="Australian Capital Territory"/>
    <x v="1"/>
    <x v="1"/>
    <s v="Product Storage 8"/>
    <n v="6"/>
    <n v="707"/>
    <n v="0"/>
    <n v="4242"/>
    <n v="42.42"/>
    <s v="Same Day"/>
    <s v="Liam Wilson"/>
  </r>
  <r>
    <s v="ORD-10249"/>
    <x v="248"/>
    <d v="2025-01-14T00:00:00"/>
    <s v="Customer 041"/>
    <x v="2"/>
    <x v="0"/>
    <s v="South Australia"/>
    <x v="2"/>
    <x v="2"/>
    <s v="Product Phones 9"/>
    <n v="1"/>
    <n v="754"/>
    <n v="0.05"/>
    <n v="716.3"/>
    <n v="156.87"/>
    <s v="Standard Class"/>
    <s v="Ava Williams"/>
  </r>
  <r>
    <s v="ORD-10250"/>
    <x v="249"/>
    <d v="2025-01-19T00:00:00"/>
    <s v="Customer 064"/>
    <x v="0"/>
    <x v="1"/>
    <s v="Northern Territory"/>
    <x v="0"/>
    <x v="0"/>
    <s v="Product Bookcases 10"/>
    <n v="4"/>
    <n v="21"/>
    <n v="0.1"/>
    <n v="75.599999999999994"/>
    <n v="8.92"/>
    <s v="Second Class"/>
    <s v="Noah Brown"/>
  </r>
  <r>
    <s v="ORD-10251"/>
    <x v="250"/>
    <d v="2025-01-23T00:00:00"/>
    <s v="Customer 087"/>
    <x v="1"/>
    <x v="2"/>
    <s v="Tasmania"/>
    <x v="1"/>
    <x v="1"/>
    <s v="Product Storage 11"/>
    <n v="7"/>
    <n v="68"/>
    <n v="0.15"/>
    <n v="404.6"/>
    <n v="79.709999999999994"/>
    <s v="First Class"/>
    <s v="Mia Taylor"/>
  </r>
  <r>
    <s v="ORD-10252"/>
    <x v="251"/>
    <d v="2025-01-20T00:00:00"/>
    <s v="Customer 014"/>
    <x v="2"/>
    <x v="3"/>
    <s v="Western Australia"/>
    <x v="2"/>
    <x v="2"/>
    <s v="Product Phones 12"/>
    <n v="2"/>
    <n v="115"/>
    <n v="0.2"/>
    <n v="184"/>
    <n v="23.18"/>
    <s v="Same Day"/>
    <s v="Liam Wilson"/>
  </r>
  <r>
    <s v="ORD-10253"/>
    <x v="252"/>
    <d v="2025-01-24T00:00:00"/>
    <s v="Customer 037"/>
    <x v="0"/>
    <x v="0"/>
    <s v="Victoria"/>
    <x v="0"/>
    <x v="3"/>
    <s v="Product Chairs 1"/>
    <n v="5"/>
    <n v="162"/>
    <n v="0"/>
    <n v="810"/>
    <n v="145.80000000000001"/>
    <s v="Standard Class"/>
    <s v="Ava Williams"/>
  </r>
  <r>
    <s v="ORD-10254"/>
    <x v="253"/>
    <d v="2025-01-29T00:00:00"/>
    <s v="Customer 060"/>
    <x v="1"/>
    <x v="1"/>
    <s v="Queensland"/>
    <x v="1"/>
    <x v="4"/>
    <s v="Product Binders 2"/>
    <n v="8"/>
    <n v="209"/>
    <n v="0"/>
    <n v="1672"/>
    <n v="484.88"/>
    <s v="Second Class"/>
    <s v="Noah Brown"/>
  </r>
  <r>
    <s v="ORD-10255"/>
    <x v="254"/>
    <d v="2025-01-26T00:00:00"/>
    <s v="Customer 083"/>
    <x v="2"/>
    <x v="2"/>
    <s v="New South Wales"/>
    <x v="2"/>
    <x v="5"/>
    <s v="Product Copiers 3"/>
    <n v="3"/>
    <n v="256"/>
    <n v="0.05"/>
    <n v="729.6"/>
    <n v="159.78"/>
    <s v="First Class"/>
    <s v="Mia Taylor"/>
  </r>
  <r>
    <s v="ORD-10256"/>
    <x v="255"/>
    <d v="2025-01-30T00:00:00"/>
    <s v="Customer 010"/>
    <x v="0"/>
    <x v="3"/>
    <s v="Australian Capital Territory"/>
    <x v="0"/>
    <x v="3"/>
    <s v="Product Chairs 4"/>
    <n v="6"/>
    <n v="303"/>
    <n v="0.1"/>
    <n v="1636.2"/>
    <n v="193.07"/>
    <s v="Same Day"/>
    <s v="Liam Wilson"/>
  </r>
  <r>
    <s v="ORD-10257"/>
    <x v="256"/>
    <d v="2025-01-27T00:00:00"/>
    <s v="Customer 033"/>
    <x v="1"/>
    <x v="0"/>
    <s v="South Australia"/>
    <x v="1"/>
    <x v="4"/>
    <s v="Product Binders 5"/>
    <n v="1"/>
    <n v="350"/>
    <n v="0.15"/>
    <n v="297.5"/>
    <n v="58.61"/>
    <s v="Standard Class"/>
    <s v="Ava Williams"/>
  </r>
  <r>
    <s v="ORD-10258"/>
    <x v="257"/>
    <d v="2025-01-31T00:00:00"/>
    <s v="Customer 056"/>
    <x v="2"/>
    <x v="1"/>
    <s v="Northern Territory"/>
    <x v="2"/>
    <x v="5"/>
    <s v="Product Copiers 6"/>
    <n v="4"/>
    <n v="397"/>
    <n v="0.2"/>
    <n v="1270.4000000000001"/>
    <n v="160.07"/>
    <s v="Second Class"/>
    <s v="Noah Brown"/>
  </r>
  <r>
    <s v="ORD-10259"/>
    <x v="258"/>
    <d v="2025-02-05T00:00:00"/>
    <s v="Customer 079"/>
    <x v="0"/>
    <x v="2"/>
    <s v="Tasmania"/>
    <x v="0"/>
    <x v="3"/>
    <s v="Product Chairs 7"/>
    <n v="7"/>
    <n v="444"/>
    <n v="0"/>
    <n v="3108"/>
    <n v="559.44000000000005"/>
    <s v="First Class"/>
    <s v="Mia Taylor"/>
  </r>
  <r>
    <s v="ORD-10260"/>
    <x v="259"/>
    <d v="2025-02-01T00:00:00"/>
    <s v="Customer 006"/>
    <x v="1"/>
    <x v="3"/>
    <s v="Western Australia"/>
    <x v="1"/>
    <x v="4"/>
    <s v="Product Binders 8"/>
    <n v="2"/>
    <n v="491"/>
    <n v="0"/>
    <n v="982"/>
    <n v="284.77999999999997"/>
    <s v="Same Day"/>
    <s v="Liam Wilson"/>
  </r>
  <r>
    <s v="ORD-10261"/>
    <x v="260"/>
    <d v="2025-02-06T00:00:00"/>
    <s v="Customer 029"/>
    <x v="2"/>
    <x v="0"/>
    <s v="Victoria"/>
    <x v="2"/>
    <x v="5"/>
    <s v="Product Copiers 9"/>
    <n v="5"/>
    <n v="538"/>
    <n v="0.05"/>
    <n v="2555.5"/>
    <n v="559.65"/>
    <s v="Standard Class"/>
    <s v="Ava Williams"/>
  </r>
  <r>
    <s v="ORD-10262"/>
    <x v="261"/>
    <d v="2025-02-10T00:00:00"/>
    <s v="Customer 052"/>
    <x v="0"/>
    <x v="1"/>
    <s v="Queensland"/>
    <x v="0"/>
    <x v="6"/>
    <s v="Product Tables 10"/>
    <n v="8"/>
    <n v="585"/>
    <n v="0.1"/>
    <n v="4212"/>
    <n v="497.02"/>
    <s v="Second Class"/>
    <s v="Noah Brown"/>
  </r>
  <r>
    <s v="ORD-10263"/>
    <x v="262"/>
    <d v="2025-02-07T00:00:00"/>
    <s v="Customer 075"/>
    <x v="1"/>
    <x v="2"/>
    <s v="New South Wales"/>
    <x v="1"/>
    <x v="7"/>
    <s v="Product Paper 11"/>
    <n v="3"/>
    <n v="632"/>
    <n v="0.15"/>
    <n v="1611.6"/>
    <n v="317.49"/>
    <s v="First Class"/>
    <s v="Mia Taylor"/>
  </r>
  <r>
    <s v="ORD-10264"/>
    <x v="263"/>
    <d v="2025-02-11T00:00:00"/>
    <s v="Customer 002"/>
    <x v="2"/>
    <x v="3"/>
    <s v="Australian Capital Territory"/>
    <x v="2"/>
    <x v="8"/>
    <s v="Product Accessories 12"/>
    <n v="6"/>
    <n v="679"/>
    <n v="0.2"/>
    <n v="3259.2"/>
    <n v="410.66"/>
    <s v="Same Day"/>
    <s v="Liam Wilson"/>
  </r>
  <r>
    <s v="ORD-10265"/>
    <x v="264"/>
    <d v="2025-02-08T00:00:00"/>
    <s v="Customer 025"/>
    <x v="0"/>
    <x v="0"/>
    <s v="South Australia"/>
    <x v="0"/>
    <x v="6"/>
    <s v="Product Tables 1"/>
    <n v="1"/>
    <n v="726"/>
    <n v="0"/>
    <n v="726"/>
    <n v="130.68"/>
    <s v="Standard Class"/>
    <s v="Ava Williams"/>
  </r>
  <r>
    <s v="ORD-10266"/>
    <x v="265"/>
    <d v="2025-02-12T00:00:00"/>
    <s v="Customer 048"/>
    <x v="1"/>
    <x v="1"/>
    <s v="Northern Territory"/>
    <x v="1"/>
    <x v="7"/>
    <s v="Product Paper 2"/>
    <n v="4"/>
    <n v="773"/>
    <n v="0"/>
    <n v="3092"/>
    <n v="896.68"/>
    <s v="Second Class"/>
    <s v="Noah Brown"/>
  </r>
  <r>
    <s v="ORD-10267"/>
    <x v="266"/>
    <d v="2025-02-17T00:00:00"/>
    <s v="Customer 071"/>
    <x v="2"/>
    <x v="2"/>
    <s v="Tasmania"/>
    <x v="2"/>
    <x v="8"/>
    <s v="Product Accessories 3"/>
    <n v="7"/>
    <n v="40"/>
    <n v="0.05"/>
    <n v="266"/>
    <n v="-16.23"/>
    <s v="First Class"/>
    <s v="Mia Taylor"/>
  </r>
  <r>
    <s v="ORD-10268"/>
    <x v="267"/>
    <d v="2025-02-13T00:00:00"/>
    <s v="Customer 094"/>
    <x v="0"/>
    <x v="3"/>
    <s v="Western Australia"/>
    <x v="0"/>
    <x v="6"/>
    <s v="Product Tables 4"/>
    <n v="2"/>
    <n v="87"/>
    <n v="0.1"/>
    <n v="156.6"/>
    <n v="18.48"/>
    <s v="Same Day"/>
    <s v="Liam Wilson"/>
  </r>
  <r>
    <s v="ORD-10269"/>
    <x v="268"/>
    <d v="2025-02-18T00:00:00"/>
    <s v="Customer 021"/>
    <x v="1"/>
    <x v="0"/>
    <s v="Victoria"/>
    <x v="1"/>
    <x v="7"/>
    <s v="Product Paper 5"/>
    <n v="5"/>
    <n v="134"/>
    <n v="0.15"/>
    <n v="569.5"/>
    <n v="112.19"/>
    <s v="Standard Class"/>
    <s v="Ava Williams"/>
  </r>
  <r>
    <s v="ORD-10270"/>
    <x v="269"/>
    <d v="2025-02-22T00:00:00"/>
    <s v="Customer 044"/>
    <x v="2"/>
    <x v="1"/>
    <s v="Queensland"/>
    <x v="2"/>
    <x v="8"/>
    <s v="Product Accessories 6"/>
    <n v="8"/>
    <n v="181"/>
    <n v="0.2"/>
    <n v="1158.4000000000001"/>
    <n v="145.96"/>
    <s v="Second Class"/>
    <s v="Noah Brown"/>
  </r>
  <r>
    <s v="ORD-10271"/>
    <x v="270"/>
    <d v="2025-02-19T00:00:00"/>
    <s v="Customer 067"/>
    <x v="0"/>
    <x v="2"/>
    <s v="New South Wales"/>
    <x v="0"/>
    <x v="0"/>
    <s v="Product Bookcases 7"/>
    <n v="3"/>
    <n v="228"/>
    <n v="0"/>
    <n v="684"/>
    <n v="123.12"/>
    <s v="First Class"/>
    <s v="Mia Taylor"/>
  </r>
  <r>
    <s v="ORD-10272"/>
    <x v="271"/>
    <d v="2025-02-23T00:00:00"/>
    <s v="Customer 090"/>
    <x v="1"/>
    <x v="3"/>
    <s v="Australian Capital Territory"/>
    <x v="1"/>
    <x v="1"/>
    <s v="Product Storage 8"/>
    <n v="6"/>
    <n v="275"/>
    <n v="0"/>
    <n v="1650"/>
    <n v="478.5"/>
    <s v="Same Day"/>
    <s v="Liam Wilson"/>
  </r>
  <r>
    <s v="ORD-10273"/>
    <x v="272"/>
    <d v="2025-02-20T00:00:00"/>
    <s v="Customer 017"/>
    <x v="2"/>
    <x v="0"/>
    <s v="South Australia"/>
    <x v="2"/>
    <x v="2"/>
    <s v="Product Phones 9"/>
    <n v="1"/>
    <n v="322"/>
    <n v="0.05"/>
    <n v="305.89999999999998"/>
    <n v="66.989999999999995"/>
    <s v="Standard Class"/>
    <s v="Ava Williams"/>
  </r>
  <r>
    <s v="ORD-10274"/>
    <x v="273"/>
    <d v="2025-02-24T00:00:00"/>
    <s v="Customer 040"/>
    <x v="0"/>
    <x v="1"/>
    <s v="Northern Territory"/>
    <x v="0"/>
    <x v="0"/>
    <s v="Product Bookcases 10"/>
    <n v="4"/>
    <n v="369"/>
    <n v="0.1"/>
    <n v="1328.4"/>
    <n v="156.75"/>
    <s v="Second Class"/>
    <s v="Noah Brown"/>
  </r>
  <r>
    <s v="ORD-10275"/>
    <x v="274"/>
    <d v="2025-03-01T00:00:00"/>
    <s v="Customer 063"/>
    <x v="1"/>
    <x v="2"/>
    <s v="Tasmania"/>
    <x v="1"/>
    <x v="1"/>
    <s v="Product Storage 11"/>
    <n v="7"/>
    <n v="416"/>
    <n v="0.15"/>
    <n v="2475.1999999999998"/>
    <n v="487.61"/>
    <s v="First Class"/>
    <s v="Mia Taylor"/>
  </r>
  <r>
    <s v="ORD-10276"/>
    <x v="275"/>
    <d v="2025-02-25T00:00:00"/>
    <s v="Customer 086"/>
    <x v="2"/>
    <x v="3"/>
    <s v="Western Australia"/>
    <x v="2"/>
    <x v="2"/>
    <s v="Product Phones 12"/>
    <n v="2"/>
    <n v="463"/>
    <n v="0.2"/>
    <n v="740.8"/>
    <n v="93.34"/>
    <s v="Same Day"/>
    <s v="Liam Wilson"/>
  </r>
  <r>
    <s v="ORD-10277"/>
    <x v="276"/>
    <d v="2025-03-02T00:00:00"/>
    <s v="Customer 013"/>
    <x v="0"/>
    <x v="0"/>
    <s v="Victoria"/>
    <x v="0"/>
    <x v="0"/>
    <s v="Product Bookcases 1"/>
    <n v="5"/>
    <n v="510"/>
    <n v="0"/>
    <n v="2550"/>
    <n v="459"/>
    <s v="Standard Class"/>
    <s v="Ava Williams"/>
  </r>
  <r>
    <s v="ORD-10278"/>
    <x v="277"/>
    <d v="2025-03-06T00:00:00"/>
    <s v="Customer 036"/>
    <x v="1"/>
    <x v="1"/>
    <s v="Queensland"/>
    <x v="1"/>
    <x v="1"/>
    <s v="Product Storage 2"/>
    <n v="8"/>
    <n v="557"/>
    <n v="0"/>
    <n v="4456"/>
    <n v="1292.24"/>
    <s v="Second Class"/>
    <s v="Noah Brown"/>
  </r>
  <r>
    <s v="ORD-10279"/>
    <x v="278"/>
    <d v="2025-03-03T00:00:00"/>
    <s v="Customer 059"/>
    <x v="2"/>
    <x v="2"/>
    <s v="New South Wales"/>
    <x v="2"/>
    <x v="2"/>
    <s v="Product Phones 3"/>
    <n v="3"/>
    <n v="604"/>
    <n v="0.05"/>
    <n v="1721.4"/>
    <n v="376.99"/>
    <s v="First Class"/>
    <s v="Mia Taylor"/>
  </r>
  <r>
    <s v="ORD-10280"/>
    <x v="279"/>
    <d v="2025-03-08T00:00:00"/>
    <s v="Customer 082"/>
    <x v="0"/>
    <x v="3"/>
    <s v="Australian Capital Territory"/>
    <x v="0"/>
    <x v="3"/>
    <s v="Product Chairs 4"/>
    <n v="6"/>
    <n v="651"/>
    <n v="0.1"/>
    <n v="3515.4"/>
    <n v="414.82"/>
    <s v="Same Day"/>
    <s v="Liam Wilson"/>
  </r>
  <r>
    <s v="ORD-10281"/>
    <x v="280"/>
    <d v="2025-03-04T00:00:00"/>
    <s v="Customer 009"/>
    <x v="1"/>
    <x v="0"/>
    <s v="South Australia"/>
    <x v="1"/>
    <x v="4"/>
    <s v="Product Binders 5"/>
    <n v="1"/>
    <n v="698"/>
    <n v="0.15"/>
    <n v="593.29999999999995"/>
    <n v="116.88"/>
    <s v="Standard Class"/>
    <s v="Ava Williams"/>
  </r>
  <r>
    <s v="ORD-10282"/>
    <x v="281"/>
    <d v="2025-03-09T00:00:00"/>
    <s v="Customer 032"/>
    <x v="2"/>
    <x v="1"/>
    <s v="Northern Territory"/>
    <x v="2"/>
    <x v="5"/>
    <s v="Product Copiers 6"/>
    <n v="4"/>
    <n v="745"/>
    <n v="0.2"/>
    <n v="2384"/>
    <n v="300.38"/>
    <s v="Second Class"/>
    <s v="Noah Brown"/>
  </r>
  <r>
    <s v="ORD-10283"/>
    <x v="282"/>
    <d v="2025-03-13T00:00:00"/>
    <s v="Customer 055"/>
    <x v="0"/>
    <x v="2"/>
    <s v="Tasmania"/>
    <x v="0"/>
    <x v="3"/>
    <s v="Product Chairs 7"/>
    <n v="7"/>
    <n v="792"/>
    <n v="0"/>
    <n v="5544"/>
    <n v="997.92"/>
    <s v="First Class"/>
    <s v="Mia Taylor"/>
  </r>
  <r>
    <s v="ORD-10284"/>
    <x v="283"/>
    <d v="2025-03-10T00:00:00"/>
    <s v="Customer 078"/>
    <x v="1"/>
    <x v="3"/>
    <s v="Western Australia"/>
    <x v="1"/>
    <x v="4"/>
    <s v="Product Binders 8"/>
    <n v="2"/>
    <n v="59"/>
    <n v="0"/>
    <n v="118"/>
    <n v="34.22"/>
    <s v="Same Day"/>
    <s v="Liam Wilson"/>
  </r>
  <r>
    <s v="ORD-10285"/>
    <x v="284"/>
    <d v="2025-03-14T00:00:00"/>
    <s v="Customer 005"/>
    <x v="2"/>
    <x v="0"/>
    <s v="Victoria"/>
    <x v="2"/>
    <x v="5"/>
    <s v="Product Copiers 9"/>
    <n v="5"/>
    <n v="106"/>
    <n v="0.05"/>
    <n v="503.5"/>
    <n v="110.27"/>
    <s v="Standard Class"/>
    <s v="Ava Williams"/>
  </r>
  <r>
    <s v="ORD-10286"/>
    <x v="285"/>
    <d v="2025-03-19T00:00:00"/>
    <s v="Customer 028"/>
    <x v="0"/>
    <x v="1"/>
    <s v="Queensland"/>
    <x v="0"/>
    <x v="3"/>
    <s v="Product Chairs 10"/>
    <n v="8"/>
    <n v="153"/>
    <n v="0.1"/>
    <n v="1101.5999999999999"/>
    <n v="-178.46"/>
    <s v="Second Class"/>
    <s v="Noah Brown"/>
  </r>
  <r>
    <s v="ORD-10287"/>
    <x v="286"/>
    <d v="2025-03-15T00:00:00"/>
    <s v="Customer 051"/>
    <x v="1"/>
    <x v="2"/>
    <s v="New South Wales"/>
    <x v="1"/>
    <x v="4"/>
    <s v="Product Binders 11"/>
    <n v="3"/>
    <n v="200"/>
    <n v="0.15"/>
    <n v="510"/>
    <n v="100.47"/>
    <s v="First Class"/>
    <s v="Mia Taylor"/>
  </r>
  <r>
    <s v="ORD-10288"/>
    <x v="287"/>
    <d v="2025-03-20T00:00:00"/>
    <s v="Customer 074"/>
    <x v="2"/>
    <x v="3"/>
    <s v="Australian Capital Territory"/>
    <x v="2"/>
    <x v="5"/>
    <s v="Product Copiers 12"/>
    <n v="6"/>
    <n v="247"/>
    <n v="0.2"/>
    <n v="1185.5999999999999"/>
    <n v="149.38999999999999"/>
    <s v="Same Day"/>
    <s v="Liam Wilson"/>
  </r>
  <r>
    <s v="ORD-10289"/>
    <x v="288"/>
    <d v="2025-03-16T00:00:00"/>
    <s v="Customer 001"/>
    <x v="0"/>
    <x v="0"/>
    <s v="South Australia"/>
    <x v="0"/>
    <x v="6"/>
    <s v="Product Tables 1"/>
    <n v="1"/>
    <n v="294"/>
    <n v="0"/>
    <n v="294"/>
    <n v="52.92"/>
    <s v="Standard Class"/>
    <s v="Ava Williams"/>
  </r>
  <r>
    <s v="ORD-10290"/>
    <x v="289"/>
    <d v="2025-03-21T00:00:00"/>
    <s v="Customer 024"/>
    <x v="1"/>
    <x v="1"/>
    <s v="Northern Territory"/>
    <x v="1"/>
    <x v="7"/>
    <s v="Product Paper 2"/>
    <n v="4"/>
    <n v="341"/>
    <n v="0"/>
    <n v="1364"/>
    <n v="395.56"/>
    <s v="Second Class"/>
    <s v="Noah Brown"/>
  </r>
  <r>
    <s v="ORD-10291"/>
    <x v="290"/>
    <d v="2025-03-25T00:00:00"/>
    <s v="Customer 047"/>
    <x v="2"/>
    <x v="2"/>
    <s v="Tasmania"/>
    <x v="2"/>
    <x v="8"/>
    <s v="Product Accessories 3"/>
    <n v="7"/>
    <n v="388"/>
    <n v="0.05"/>
    <n v="2580.1999999999998"/>
    <n v="565.05999999999995"/>
    <s v="First Class"/>
    <s v="Mia Taylor"/>
  </r>
  <r>
    <s v="ORD-10292"/>
    <x v="291"/>
    <d v="2025-03-22T00:00:00"/>
    <s v="Customer 070"/>
    <x v="0"/>
    <x v="3"/>
    <s v="Western Australia"/>
    <x v="0"/>
    <x v="6"/>
    <s v="Product Tables 4"/>
    <n v="2"/>
    <n v="435"/>
    <n v="0.1"/>
    <n v="783"/>
    <n v="92.39"/>
    <s v="Same Day"/>
    <s v="Liam Wilson"/>
  </r>
  <r>
    <s v="ORD-10293"/>
    <x v="292"/>
    <d v="2025-03-26T00:00:00"/>
    <s v="Customer 093"/>
    <x v="1"/>
    <x v="0"/>
    <s v="Victoria"/>
    <x v="1"/>
    <x v="7"/>
    <s v="Product Paper 5"/>
    <n v="5"/>
    <n v="482"/>
    <n v="0.15"/>
    <n v="2048.5"/>
    <n v="403.55"/>
    <s v="Standard Class"/>
    <s v="Ava Williams"/>
  </r>
  <r>
    <s v="ORD-10294"/>
    <x v="293"/>
    <d v="2025-03-31T00:00:00"/>
    <s v="Customer 020"/>
    <x v="2"/>
    <x v="1"/>
    <s v="Queensland"/>
    <x v="2"/>
    <x v="8"/>
    <s v="Product Accessories 6"/>
    <n v="8"/>
    <n v="529"/>
    <n v="0.2"/>
    <n v="3385.6"/>
    <n v="426.59"/>
    <s v="Second Class"/>
    <s v="Noah Brown"/>
  </r>
  <r>
    <s v="ORD-10295"/>
    <x v="294"/>
    <d v="2025-03-27T00:00:00"/>
    <s v="Customer 043"/>
    <x v="0"/>
    <x v="2"/>
    <s v="New South Wales"/>
    <x v="0"/>
    <x v="6"/>
    <s v="Product Tables 7"/>
    <n v="3"/>
    <n v="576"/>
    <n v="0"/>
    <n v="1728"/>
    <n v="311.04000000000002"/>
    <s v="First Class"/>
    <s v="Mia Taylor"/>
  </r>
  <r>
    <s v="ORD-10296"/>
    <x v="295"/>
    <d v="2025-04-01T00:00:00"/>
    <s v="Customer 066"/>
    <x v="1"/>
    <x v="3"/>
    <s v="Australian Capital Territory"/>
    <x v="1"/>
    <x v="7"/>
    <s v="Product Paper 8"/>
    <n v="6"/>
    <n v="623"/>
    <n v="0"/>
    <n v="3738"/>
    <n v="1084.02"/>
    <s v="Same Day"/>
    <s v="Liam Wilson"/>
  </r>
  <r>
    <s v="ORD-10297"/>
    <x v="296"/>
    <d v="2025-03-28T00:00:00"/>
    <s v="Customer 089"/>
    <x v="2"/>
    <x v="0"/>
    <s v="South Australia"/>
    <x v="2"/>
    <x v="8"/>
    <s v="Product Accessories 9"/>
    <n v="1"/>
    <n v="670"/>
    <n v="0.05"/>
    <n v="636.5"/>
    <n v="139.38999999999999"/>
    <s v="Standard Class"/>
    <s v="Ava Williams"/>
  </r>
  <r>
    <s v="ORD-10298"/>
    <x v="297"/>
    <d v="2025-04-02T00:00:00"/>
    <s v="Customer 016"/>
    <x v="0"/>
    <x v="1"/>
    <s v="Northern Territory"/>
    <x v="0"/>
    <x v="0"/>
    <s v="Product Bookcases 10"/>
    <n v="4"/>
    <n v="717"/>
    <n v="0.1"/>
    <n v="2581.1999999999998"/>
    <n v="304.58"/>
    <s v="Second Class"/>
    <s v="Noah Brown"/>
  </r>
  <r>
    <s v="ORD-10299"/>
    <x v="298"/>
    <d v="2025-04-06T00:00:00"/>
    <s v="Customer 039"/>
    <x v="1"/>
    <x v="2"/>
    <s v="Tasmania"/>
    <x v="1"/>
    <x v="1"/>
    <s v="Product Storage 11"/>
    <n v="7"/>
    <n v="764"/>
    <n v="0.15"/>
    <n v="4545.8"/>
    <n v="895.52"/>
    <s v="First Class"/>
    <s v="Mia Taylor"/>
  </r>
  <r>
    <s v="ORD-10300"/>
    <x v="299"/>
    <d v="2025-04-03T00:00:00"/>
    <s v="Customer 062"/>
    <x v="2"/>
    <x v="3"/>
    <s v="Western Australia"/>
    <x v="2"/>
    <x v="2"/>
    <s v="Product Phones 12"/>
    <n v="2"/>
    <n v="31"/>
    <n v="0.2"/>
    <n v="49.6"/>
    <n v="6.25"/>
    <s v="Same Day"/>
    <s v="Liam Wilson"/>
  </r>
  <r>
    <s v="ORD-10301"/>
    <x v="300"/>
    <d v="2025-04-07T00:00:00"/>
    <s v="Customer 085"/>
    <x v="0"/>
    <x v="0"/>
    <s v="Victoria"/>
    <x v="0"/>
    <x v="0"/>
    <s v="Product Bookcases 1"/>
    <n v="5"/>
    <n v="78"/>
    <n v="0"/>
    <n v="390"/>
    <n v="70.2"/>
    <s v="Standard Class"/>
    <s v="Ava Williams"/>
  </r>
  <r>
    <s v="ORD-10302"/>
    <x v="301"/>
    <d v="2025-04-12T00:00:00"/>
    <s v="Customer 012"/>
    <x v="1"/>
    <x v="1"/>
    <s v="Queensland"/>
    <x v="1"/>
    <x v="1"/>
    <s v="Product Storage 2"/>
    <n v="8"/>
    <n v="125"/>
    <n v="0"/>
    <n v="1000"/>
    <n v="290"/>
    <s v="Second Class"/>
    <s v="Noah Brown"/>
  </r>
  <r>
    <s v="ORD-10303"/>
    <x v="302"/>
    <d v="2025-04-08T00:00:00"/>
    <s v="Customer 035"/>
    <x v="2"/>
    <x v="2"/>
    <s v="New South Wales"/>
    <x v="2"/>
    <x v="2"/>
    <s v="Product Phones 3"/>
    <n v="3"/>
    <n v="172"/>
    <n v="0.05"/>
    <n v="490.2"/>
    <n v="107.35"/>
    <s v="First Class"/>
    <s v="Mia Taylor"/>
  </r>
  <r>
    <s v="ORD-10304"/>
    <x v="303"/>
    <d v="2025-04-13T00:00:00"/>
    <s v="Customer 058"/>
    <x v="0"/>
    <x v="3"/>
    <s v="Australian Capital Territory"/>
    <x v="0"/>
    <x v="0"/>
    <s v="Product Bookcases 4"/>
    <n v="6"/>
    <n v="219"/>
    <n v="0.1"/>
    <n v="1182.5999999999999"/>
    <n v="139.55000000000001"/>
    <s v="Same Day"/>
    <s v="Liam Wilson"/>
  </r>
  <r>
    <s v="ORD-10305"/>
    <x v="304"/>
    <d v="2025-04-10T00:00:00"/>
    <s v="Customer 081"/>
    <x v="1"/>
    <x v="0"/>
    <s v="South Australia"/>
    <x v="1"/>
    <x v="1"/>
    <s v="Product Storage 5"/>
    <n v="1"/>
    <n v="266"/>
    <n v="0.15"/>
    <n v="226.1"/>
    <n v="-18.77"/>
    <s v="Standard Class"/>
    <s v="Ava Williams"/>
  </r>
  <r>
    <s v="ORD-10306"/>
    <x v="305"/>
    <d v="2025-04-14T00:00:00"/>
    <s v="Customer 008"/>
    <x v="2"/>
    <x v="1"/>
    <s v="Northern Territory"/>
    <x v="2"/>
    <x v="2"/>
    <s v="Product Phones 6"/>
    <n v="4"/>
    <n v="313"/>
    <n v="0.2"/>
    <n v="1001.6"/>
    <n v="126.2"/>
    <s v="Second Class"/>
    <s v="Noah Brown"/>
  </r>
  <r>
    <s v="ORD-10307"/>
    <x v="306"/>
    <d v="2025-04-19T00:00:00"/>
    <s v="Customer 031"/>
    <x v="0"/>
    <x v="2"/>
    <s v="Tasmania"/>
    <x v="0"/>
    <x v="3"/>
    <s v="Product Chairs 7"/>
    <n v="7"/>
    <n v="360"/>
    <n v="0"/>
    <n v="2520"/>
    <n v="453.6"/>
    <s v="First Class"/>
    <s v="Mia Taylor"/>
  </r>
  <r>
    <s v="ORD-10308"/>
    <x v="307"/>
    <d v="2025-04-15T00:00:00"/>
    <s v="Customer 054"/>
    <x v="1"/>
    <x v="3"/>
    <s v="Western Australia"/>
    <x v="1"/>
    <x v="4"/>
    <s v="Product Binders 8"/>
    <n v="2"/>
    <n v="407"/>
    <n v="0"/>
    <n v="814"/>
    <n v="236.06"/>
    <s v="Same Day"/>
    <s v="Liam Wilson"/>
  </r>
  <r>
    <s v="ORD-10309"/>
    <x v="308"/>
    <d v="2025-04-20T00:00:00"/>
    <s v="Customer 077"/>
    <x v="2"/>
    <x v="0"/>
    <s v="Victoria"/>
    <x v="2"/>
    <x v="5"/>
    <s v="Product Copiers 9"/>
    <n v="5"/>
    <n v="454"/>
    <n v="0.05"/>
    <n v="2156.5"/>
    <n v="472.27"/>
    <s v="Standard Class"/>
    <s v="Ava Williams"/>
  </r>
  <r>
    <s v="ORD-10310"/>
    <x v="309"/>
    <d v="2025-04-24T00:00:00"/>
    <s v="Customer 004"/>
    <x v="0"/>
    <x v="1"/>
    <s v="Queensland"/>
    <x v="0"/>
    <x v="3"/>
    <s v="Product Chairs 10"/>
    <n v="8"/>
    <n v="501"/>
    <n v="0.1"/>
    <n v="3607.2"/>
    <n v="425.65"/>
    <s v="Second Class"/>
    <s v="Noah Brown"/>
  </r>
  <r>
    <s v="ORD-10311"/>
    <x v="310"/>
    <d v="2025-04-21T00:00:00"/>
    <s v="Customer 027"/>
    <x v="1"/>
    <x v="2"/>
    <s v="New South Wales"/>
    <x v="1"/>
    <x v="4"/>
    <s v="Product Binders 11"/>
    <n v="3"/>
    <n v="548"/>
    <n v="0.15"/>
    <n v="1397.4"/>
    <n v="275.29000000000002"/>
    <s v="First Class"/>
    <s v="Mia Taylor"/>
  </r>
  <r>
    <s v="ORD-10312"/>
    <x v="311"/>
    <d v="2025-04-25T00:00:00"/>
    <s v="Customer 050"/>
    <x v="2"/>
    <x v="3"/>
    <s v="Australian Capital Territory"/>
    <x v="2"/>
    <x v="5"/>
    <s v="Product Copiers 12"/>
    <n v="6"/>
    <n v="595"/>
    <n v="0.2"/>
    <n v="2856"/>
    <n v="359.86"/>
    <s v="Same Day"/>
    <s v="Liam Wilson"/>
  </r>
  <r>
    <s v="ORD-10313"/>
    <x v="312"/>
    <d v="2025-04-22T00:00:00"/>
    <s v="Customer 073"/>
    <x v="0"/>
    <x v="0"/>
    <s v="South Australia"/>
    <x v="0"/>
    <x v="3"/>
    <s v="Product Chairs 1"/>
    <n v="1"/>
    <n v="642"/>
    <n v="0"/>
    <n v="642"/>
    <n v="115.56"/>
    <s v="Standard Class"/>
    <s v="Ava Williams"/>
  </r>
  <r>
    <s v="ORD-10314"/>
    <x v="313"/>
    <d v="2025-04-26T00:00:00"/>
    <s v="Customer 096"/>
    <x v="1"/>
    <x v="1"/>
    <s v="Northern Territory"/>
    <x v="1"/>
    <x v="4"/>
    <s v="Product Binders 2"/>
    <n v="4"/>
    <n v="689"/>
    <n v="0"/>
    <n v="2756"/>
    <n v="799.24"/>
    <s v="Second Class"/>
    <s v="Noah Brown"/>
  </r>
  <r>
    <s v="ORD-10315"/>
    <x v="314"/>
    <d v="2025-05-01T00:00:00"/>
    <s v="Customer 023"/>
    <x v="2"/>
    <x v="2"/>
    <s v="Tasmania"/>
    <x v="2"/>
    <x v="5"/>
    <s v="Product Copiers 3"/>
    <n v="7"/>
    <n v="736"/>
    <n v="0.05"/>
    <n v="4894.3999999999996"/>
    <n v="1071.8699999999999"/>
    <s v="First Class"/>
    <s v="Mia Taylor"/>
  </r>
  <r>
    <s v="ORD-10316"/>
    <x v="315"/>
    <d v="2025-04-27T00:00:00"/>
    <s v="Customer 046"/>
    <x v="0"/>
    <x v="3"/>
    <s v="Western Australia"/>
    <x v="0"/>
    <x v="6"/>
    <s v="Product Tables 4"/>
    <n v="2"/>
    <n v="783"/>
    <n v="0.1"/>
    <n v="1409.4"/>
    <n v="166.31"/>
    <s v="Same Day"/>
    <s v="Liam Wilson"/>
  </r>
  <r>
    <s v="ORD-10317"/>
    <x v="316"/>
    <d v="2025-05-02T00:00:00"/>
    <s v="Customer 069"/>
    <x v="1"/>
    <x v="0"/>
    <s v="Victoria"/>
    <x v="1"/>
    <x v="7"/>
    <s v="Product Paper 5"/>
    <n v="5"/>
    <n v="50"/>
    <n v="0.15"/>
    <n v="212.5"/>
    <n v="41.86"/>
    <s v="Standard Class"/>
    <s v="Ava Williams"/>
  </r>
  <r>
    <s v="ORD-10318"/>
    <x v="317"/>
    <d v="2025-05-06T00:00:00"/>
    <s v="Customer 092"/>
    <x v="2"/>
    <x v="1"/>
    <s v="Queensland"/>
    <x v="2"/>
    <x v="8"/>
    <s v="Product Accessories 6"/>
    <n v="8"/>
    <n v="97"/>
    <n v="0.2"/>
    <n v="620.79999999999995"/>
    <n v="78.22"/>
    <s v="Second Class"/>
    <s v="Noah Brown"/>
  </r>
  <r>
    <s v="ORD-10319"/>
    <x v="318"/>
    <d v="2025-05-03T00:00:00"/>
    <s v="Customer 019"/>
    <x v="0"/>
    <x v="2"/>
    <s v="New South Wales"/>
    <x v="0"/>
    <x v="6"/>
    <s v="Product Tables 7"/>
    <n v="3"/>
    <n v="144"/>
    <n v="0"/>
    <n v="432"/>
    <n v="77.760000000000005"/>
    <s v="First Class"/>
    <s v="Mia Taylor"/>
  </r>
  <r>
    <s v="ORD-10320"/>
    <x v="319"/>
    <d v="2025-05-07T00:00:00"/>
    <s v="Customer 042"/>
    <x v="1"/>
    <x v="3"/>
    <s v="Australian Capital Territory"/>
    <x v="1"/>
    <x v="7"/>
    <s v="Product Paper 8"/>
    <n v="6"/>
    <n v="191"/>
    <n v="0"/>
    <n v="1146"/>
    <n v="332.34"/>
    <s v="Same Day"/>
    <s v="Liam Wilson"/>
  </r>
  <r>
    <s v="ORD-10321"/>
    <x v="320"/>
    <d v="2025-05-04T00:00:00"/>
    <s v="Customer 065"/>
    <x v="2"/>
    <x v="0"/>
    <s v="South Australia"/>
    <x v="2"/>
    <x v="8"/>
    <s v="Product Accessories 9"/>
    <n v="1"/>
    <n v="238"/>
    <n v="0.05"/>
    <n v="226.1"/>
    <n v="49.52"/>
    <s v="Standard Class"/>
    <s v="Ava Williams"/>
  </r>
  <r>
    <s v="ORD-10322"/>
    <x v="321"/>
    <d v="2025-05-08T00:00:00"/>
    <s v="Customer 088"/>
    <x v="0"/>
    <x v="1"/>
    <s v="Northern Territory"/>
    <x v="0"/>
    <x v="6"/>
    <s v="Product Tables 10"/>
    <n v="4"/>
    <n v="285"/>
    <n v="0.1"/>
    <n v="1026"/>
    <n v="121.07"/>
    <s v="Second Class"/>
    <s v="Noah Brown"/>
  </r>
  <r>
    <s v="ORD-10323"/>
    <x v="322"/>
    <d v="2025-05-13T00:00:00"/>
    <s v="Customer 015"/>
    <x v="1"/>
    <x v="2"/>
    <s v="Tasmania"/>
    <x v="1"/>
    <x v="7"/>
    <s v="Product Paper 11"/>
    <n v="7"/>
    <n v="332"/>
    <n v="0.15"/>
    <n v="1975.4"/>
    <n v="389.15"/>
    <s v="First Class"/>
    <s v="Mia Taylor"/>
  </r>
  <r>
    <s v="ORD-10324"/>
    <x v="323"/>
    <d v="2025-05-09T00:00:00"/>
    <s v="Customer 038"/>
    <x v="2"/>
    <x v="3"/>
    <s v="Western Australia"/>
    <x v="2"/>
    <x v="8"/>
    <s v="Product Accessories 12"/>
    <n v="2"/>
    <n v="379"/>
    <n v="0.2"/>
    <n v="606.4"/>
    <n v="-93.39"/>
    <s v="Same Day"/>
    <s v="Liam Wilson"/>
  </r>
  <r>
    <s v="ORD-10325"/>
    <x v="324"/>
    <d v="2025-05-14T00:00:00"/>
    <s v="Customer 061"/>
    <x v="0"/>
    <x v="0"/>
    <s v="Victoria"/>
    <x v="0"/>
    <x v="0"/>
    <s v="Product Bookcases 1"/>
    <n v="5"/>
    <n v="426"/>
    <n v="0"/>
    <n v="2130"/>
    <n v="383.4"/>
    <s v="Standard Class"/>
    <s v="Ava Williams"/>
  </r>
  <r>
    <s v="ORD-10326"/>
    <x v="325"/>
    <d v="2025-05-18T00:00:00"/>
    <s v="Customer 084"/>
    <x v="1"/>
    <x v="1"/>
    <s v="Queensland"/>
    <x v="1"/>
    <x v="1"/>
    <s v="Product Storage 2"/>
    <n v="8"/>
    <n v="473"/>
    <n v="0"/>
    <n v="3784"/>
    <n v="1097.3599999999999"/>
    <s v="Second Class"/>
    <s v="Noah Brown"/>
  </r>
  <r>
    <s v="ORD-10327"/>
    <x v="326"/>
    <d v="2025-05-15T00:00:00"/>
    <s v="Customer 011"/>
    <x v="2"/>
    <x v="2"/>
    <s v="New South Wales"/>
    <x v="2"/>
    <x v="2"/>
    <s v="Product Phones 3"/>
    <n v="3"/>
    <n v="520"/>
    <n v="0.05"/>
    <n v="1482"/>
    <n v="324.56"/>
    <s v="First Class"/>
    <s v="Mia Taylor"/>
  </r>
  <r>
    <s v="ORD-10328"/>
    <x v="327"/>
    <d v="2025-05-19T00:00:00"/>
    <s v="Customer 034"/>
    <x v="0"/>
    <x v="3"/>
    <s v="Australian Capital Territory"/>
    <x v="0"/>
    <x v="0"/>
    <s v="Product Bookcases 4"/>
    <n v="6"/>
    <n v="567"/>
    <n v="0.1"/>
    <n v="3061.8"/>
    <n v="361.29"/>
    <s v="Same Day"/>
    <s v="Liam Wilson"/>
  </r>
  <r>
    <s v="ORD-10329"/>
    <x v="328"/>
    <d v="2025-05-16T00:00:00"/>
    <s v="Customer 057"/>
    <x v="1"/>
    <x v="0"/>
    <s v="South Australia"/>
    <x v="1"/>
    <x v="1"/>
    <s v="Product Storage 5"/>
    <n v="1"/>
    <n v="614"/>
    <n v="0.15"/>
    <n v="521.9"/>
    <n v="102.81"/>
    <s v="Standard Class"/>
    <s v="Ava Williams"/>
  </r>
  <r>
    <s v="ORD-10330"/>
    <x v="329"/>
    <d v="2025-05-21T00:00:00"/>
    <s v="Customer 080"/>
    <x v="2"/>
    <x v="1"/>
    <s v="Northern Territory"/>
    <x v="2"/>
    <x v="2"/>
    <s v="Product Phones 6"/>
    <n v="4"/>
    <n v="661"/>
    <n v="0.2"/>
    <n v="2115.1999999999998"/>
    <n v="266.52"/>
    <s v="Second Class"/>
    <s v="Noah Brown"/>
  </r>
  <r>
    <s v="ORD-10331"/>
    <x v="330"/>
    <d v="2025-05-25T00:00:00"/>
    <s v="Customer 007"/>
    <x v="0"/>
    <x v="2"/>
    <s v="Tasmania"/>
    <x v="0"/>
    <x v="0"/>
    <s v="Product Bookcases 7"/>
    <n v="7"/>
    <n v="708"/>
    <n v="0"/>
    <n v="4956"/>
    <n v="892.08"/>
    <s v="First Class"/>
    <s v="Mia Taylor"/>
  </r>
  <r>
    <s v="ORD-10332"/>
    <x v="331"/>
    <d v="2025-05-22T00:00:00"/>
    <s v="Customer 030"/>
    <x v="1"/>
    <x v="3"/>
    <s v="Western Australia"/>
    <x v="1"/>
    <x v="1"/>
    <s v="Product Storage 8"/>
    <n v="2"/>
    <n v="755"/>
    <n v="0"/>
    <n v="1510"/>
    <n v="437.9"/>
    <s v="Same Day"/>
    <s v="Liam Wilson"/>
  </r>
  <r>
    <s v="ORD-10333"/>
    <x v="332"/>
    <d v="2025-05-26T00:00:00"/>
    <s v="Customer 053"/>
    <x v="2"/>
    <x v="0"/>
    <s v="Victoria"/>
    <x v="2"/>
    <x v="2"/>
    <s v="Product Phones 9"/>
    <n v="5"/>
    <n v="22"/>
    <n v="0.05"/>
    <n v="104.5"/>
    <n v="22.89"/>
    <s v="Standard Class"/>
    <s v="Ava Williams"/>
  </r>
  <r>
    <s v="ORD-10334"/>
    <x v="333"/>
    <d v="2025-05-31T00:00:00"/>
    <s v="Customer 076"/>
    <x v="0"/>
    <x v="1"/>
    <s v="Queensland"/>
    <x v="0"/>
    <x v="3"/>
    <s v="Product Chairs 10"/>
    <n v="8"/>
    <n v="69"/>
    <n v="0.1"/>
    <n v="496.8"/>
    <n v="58.62"/>
    <s v="Second Class"/>
    <s v="Noah Brown"/>
  </r>
  <r>
    <s v="ORD-10335"/>
    <x v="334"/>
    <d v="2025-05-27T00:00:00"/>
    <s v="Customer 003"/>
    <x v="1"/>
    <x v="2"/>
    <s v="New South Wales"/>
    <x v="1"/>
    <x v="4"/>
    <s v="Product Binders 11"/>
    <n v="3"/>
    <n v="116"/>
    <n v="0.15"/>
    <n v="295.8"/>
    <n v="58.27"/>
    <s v="First Class"/>
    <s v="Mia Taylor"/>
  </r>
  <r>
    <s v="ORD-10336"/>
    <x v="335"/>
    <d v="2025-06-01T00:00:00"/>
    <s v="Customer 026"/>
    <x v="2"/>
    <x v="3"/>
    <s v="Australian Capital Territory"/>
    <x v="2"/>
    <x v="5"/>
    <s v="Product Copiers 12"/>
    <n v="6"/>
    <n v="163"/>
    <n v="0.2"/>
    <n v="782.4"/>
    <n v="98.58"/>
    <s v="Same Day"/>
    <s v="Liam Wilson"/>
  </r>
  <r>
    <s v="ORD-10337"/>
    <x v="336"/>
    <d v="2025-05-28T00:00:00"/>
    <s v="Customer 049"/>
    <x v="0"/>
    <x v="0"/>
    <s v="South Australia"/>
    <x v="0"/>
    <x v="3"/>
    <s v="Product Chairs 1"/>
    <n v="1"/>
    <n v="210"/>
    <n v="0"/>
    <n v="210"/>
    <n v="37.799999999999997"/>
    <s v="Standard Class"/>
    <s v="Ava Williams"/>
  </r>
  <r>
    <s v="ORD-10338"/>
    <x v="337"/>
    <d v="2025-06-02T00:00:00"/>
    <s v="Customer 072"/>
    <x v="1"/>
    <x v="1"/>
    <s v="Northern Territory"/>
    <x v="1"/>
    <x v="4"/>
    <s v="Product Binders 2"/>
    <n v="4"/>
    <n v="257"/>
    <n v="0"/>
    <n v="1028"/>
    <n v="298.12"/>
    <s v="Second Class"/>
    <s v="Noah Brown"/>
  </r>
  <r>
    <s v="ORD-10339"/>
    <x v="338"/>
    <d v="2025-06-06T00:00:00"/>
    <s v="Customer 095"/>
    <x v="2"/>
    <x v="2"/>
    <s v="Tasmania"/>
    <x v="2"/>
    <x v="5"/>
    <s v="Product Copiers 3"/>
    <n v="7"/>
    <n v="304"/>
    <n v="0.05"/>
    <n v="2021.6"/>
    <n v="442.73"/>
    <s v="First Class"/>
    <s v="Mia Taylor"/>
  </r>
  <r>
    <s v="ORD-10340"/>
    <x v="339"/>
    <d v="2025-06-03T00:00:00"/>
    <s v="Customer 022"/>
    <x v="0"/>
    <x v="3"/>
    <s v="Western Australia"/>
    <x v="0"/>
    <x v="3"/>
    <s v="Product Chairs 4"/>
    <n v="2"/>
    <n v="351"/>
    <n v="0.1"/>
    <n v="631.79999999999995"/>
    <n v="74.55"/>
    <s v="Same Day"/>
    <s v="Liam Wilson"/>
  </r>
  <r>
    <s v="ORD-10341"/>
    <x v="340"/>
    <d v="2025-06-07T00:00:00"/>
    <s v="Customer 045"/>
    <x v="1"/>
    <x v="0"/>
    <s v="Victoria"/>
    <x v="1"/>
    <x v="4"/>
    <s v="Product Binders 5"/>
    <n v="5"/>
    <n v="398"/>
    <n v="0.15"/>
    <n v="1691.5"/>
    <n v="333.23"/>
    <s v="Standard Class"/>
    <s v="Ava Williams"/>
  </r>
  <r>
    <s v="ORD-10342"/>
    <x v="341"/>
    <d v="2025-06-12T00:00:00"/>
    <s v="Customer 068"/>
    <x v="2"/>
    <x v="1"/>
    <s v="Queensland"/>
    <x v="2"/>
    <x v="5"/>
    <s v="Product Copiers 6"/>
    <n v="8"/>
    <n v="445"/>
    <n v="0.2"/>
    <n v="2848"/>
    <n v="358.85"/>
    <s v="Second Class"/>
    <s v="Noah Brown"/>
  </r>
  <r>
    <s v="ORD-10343"/>
    <x v="342"/>
    <d v="2025-06-08T00:00:00"/>
    <s v="Customer 091"/>
    <x v="0"/>
    <x v="2"/>
    <s v="New South Wales"/>
    <x v="0"/>
    <x v="6"/>
    <s v="Product Tables 7"/>
    <n v="3"/>
    <n v="492"/>
    <n v="0"/>
    <n v="1476"/>
    <n v="-147.6"/>
    <s v="First Class"/>
    <s v="Mia Taylor"/>
  </r>
  <r>
    <s v="ORD-10344"/>
    <x v="343"/>
    <d v="2025-06-13T00:00:00"/>
    <s v="Customer 018"/>
    <x v="1"/>
    <x v="3"/>
    <s v="Australian Capital Territory"/>
    <x v="1"/>
    <x v="7"/>
    <s v="Product Paper 8"/>
    <n v="6"/>
    <n v="539"/>
    <n v="0"/>
    <n v="3234"/>
    <n v="937.86"/>
    <s v="Same Day"/>
    <s v="Liam Wilson"/>
  </r>
  <r>
    <s v="ORD-10345"/>
    <x v="344"/>
    <d v="2025-06-09T00:00:00"/>
    <s v="Customer 041"/>
    <x v="2"/>
    <x v="0"/>
    <s v="South Australia"/>
    <x v="2"/>
    <x v="8"/>
    <s v="Product Accessories 9"/>
    <n v="1"/>
    <n v="586"/>
    <n v="0.05"/>
    <n v="556.70000000000005"/>
    <n v="121.92"/>
    <s v="Standard Class"/>
    <s v="Ava Williams"/>
  </r>
  <r>
    <s v="ORD-10346"/>
    <x v="345"/>
    <d v="2025-06-14T00:00:00"/>
    <s v="Customer 064"/>
    <x v="0"/>
    <x v="1"/>
    <s v="Northern Territory"/>
    <x v="0"/>
    <x v="6"/>
    <s v="Product Tables 10"/>
    <n v="4"/>
    <n v="633"/>
    <n v="0.1"/>
    <n v="2278.8000000000002"/>
    <n v="268.89999999999998"/>
    <s v="Second Class"/>
    <s v="Noah Brown"/>
  </r>
  <r>
    <s v="ORD-10347"/>
    <x v="346"/>
    <d v="2025-06-18T00:00:00"/>
    <s v="Customer 087"/>
    <x v="1"/>
    <x v="2"/>
    <s v="Tasmania"/>
    <x v="1"/>
    <x v="7"/>
    <s v="Product Paper 11"/>
    <n v="7"/>
    <n v="680"/>
    <n v="0.15"/>
    <n v="4046"/>
    <n v="797.06"/>
    <s v="First Class"/>
    <s v="Mia Taylor"/>
  </r>
  <r>
    <s v="ORD-10348"/>
    <x v="347"/>
    <d v="2025-06-15T00:00:00"/>
    <s v="Customer 014"/>
    <x v="2"/>
    <x v="3"/>
    <s v="Western Australia"/>
    <x v="2"/>
    <x v="8"/>
    <s v="Product Accessories 12"/>
    <n v="2"/>
    <n v="727"/>
    <n v="0.2"/>
    <n v="1163.2"/>
    <n v="146.56"/>
    <s v="Same Day"/>
    <s v="Liam Wilson"/>
  </r>
  <r>
    <s v="ORD-10349"/>
    <x v="348"/>
    <d v="2025-06-19T00:00:00"/>
    <s v="Customer 037"/>
    <x v="0"/>
    <x v="0"/>
    <s v="Victoria"/>
    <x v="0"/>
    <x v="6"/>
    <s v="Product Tables 1"/>
    <n v="5"/>
    <n v="774"/>
    <n v="0"/>
    <n v="3870"/>
    <n v="696.6"/>
    <s v="Standard Class"/>
    <s v="Ava Williams"/>
  </r>
  <r>
    <s v="ORD-10350"/>
    <x v="349"/>
    <d v="2025-06-24T00:00:00"/>
    <s v="Customer 060"/>
    <x v="1"/>
    <x v="1"/>
    <s v="Queensland"/>
    <x v="1"/>
    <x v="7"/>
    <s v="Product Paper 2"/>
    <n v="8"/>
    <n v="41"/>
    <n v="0"/>
    <n v="328"/>
    <n v="95.12"/>
    <s v="Second Class"/>
    <s v="Noah Brown"/>
  </r>
  <r>
    <s v="ORD-10351"/>
    <x v="350"/>
    <d v="2025-06-20T00:00:00"/>
    <s v="Customer 083"/>
    <x v="2"/>
    <x v="2"/>
    <s v="New South Wales"/>
    <x v="2"/>
    <x v="8"/>
    <s v="Product Accessories 3"/>
    <n v="3"/>
    <n v="88"/>
    <n v="0.05"/>
    <n v="250.8"/>
    <n v="54.93"/>
    <s v="First Class"/>
    <s v="Mia Taylor"/>
  </r>
  <r>
    <s v="ORD-10352"/>
    <x v="351"/>
    <d v="2025-06-25T00:00:00"/>
    <s v="Customer 010"/>
    <x v="0"/>
    <x v="3"/>
    <s v="Australian Capital Territory"/>
    <x v="0"/>
    <x v="0"/>
    <s v="Product Bookcases 4"/>
    <n v="6"/>
    <n v="135"/>
    <n v="0.1"/>
    <n v="729"/>
    <n v="86.02"/>
    <s v="Same Day"/>
    <s v="Liam Wilson"/>
  </r>
  <r>
    <s v="ORD-10353"/>
    <x v="352"/>
    <d v="2025-06-21T00:00:00"/>
    <s v="Customer 033"/>
    <x v="1"/>
    <x v="0"/>
    <s v="South Australia"/>
    <x v="1"/>
    <x v="1"/>
    <s v="Product Storage 5"/>
    <n v="1"/>
    <n v="182"/>
    <n v="0.15"/>
    <n v="154.69999999999999"/>
    <n v="30.48"/>
    <s v="Standard Class"/>
    <s v="Ava Williams"/>
  </r>
  <r>
    <s v="ORD-10354"/>
    <x v="353"/>
    <d v="2025-06-26T00:00:00"/>
    <s v="Customer 056"/>
    <x v="2"/>
    <x v="1"/>
    <s v="Northern Territory"/>
    <x v="2"/>
    <x v="2"/>
    <s v="Product Phones 6"/>
    <n v="4"/>
    <n v="229"/>
    <n v="0.2"/>
    <n v="732.8"/>
    <n v="92.33"/>
    <s v="Second Class"/>
    <s v="Noah Brown"/>
  </r>
  <r>
    <s v="ORD-10355"/>
    <x v="354"/>
    <d v="2025-07-01T00:00:00"/>
    <s v="Customer 079"/>
    <x v="0"/>
    <x v="2"/>
    <s v="Tasmania"/>
    <x v="0"/>
    <x v="0"/>
    <s v="Product Bookcases 7"/>
    <n v="7"/>
    <n v="276"/>
    <n v="0"/>
    <n v="1932"/>
    <n v="347.76"/>
    <s v="First Class"/>
    <s v="Mia Taylor"/>
  </r>
  <r>
    <s v="ORD-10356"/>
    <x v="355"/>
    <d v="2025-06-27T00:00:00"/>
    <s v="Customer 006"/>
    <x v="1"/>
    <x v="3"/>
    <s v="Western Australia"/>
    <x v="1"/>
    <x v="1"/>
    <s v="Product Storage 8"/>
    <n v="2"/>
    <n v="323"/>
    <n v="0"/>
    <n v="646"/>
    <n v="187.34"/>
    <s v="Same Day"/>
    <s v="Liam Wilson"/>
  </r>
  <r>
    <s v="ORD-10357"/>
    <x v="356"/>
    <d v="2025-07-02T00:00:00"/>
    <s v="Customer 029"/>
    <x v="2"/>
    <x v="0"/>
    <s v="Victoria"/>
    <x v="2"/>
    <x v="2"/>
    <s v="Product Phones 9"/>
    <n v="5"/>
    <n v="370"/>
    <n v="0.05"/>
    <n v="1757.5"/>
    <n v="384.89"/>
    <s v="Standard Class"/>
    <s v="Ava Williams"/>
  </r>
  <r>
    <s v="ORD-10358"/>
    <x v="357"/>
    <d v="2025-07-06T00:00:00"/>
    <s v="Customer 052"/>
    <x v="0"/>
    <x v="1"/>
    <s v="Queensland"/>
    <x v="0"/>
    <x v="0"/>
    <s v="Product Bookcases 10"/>
    <n v="8"/>
    <n v="417"/>
    <n v="0.1"/>
    <n v="3002.4"/>
    <n v="354.28"/>
    <s v="Second Class"/>
    <s v="Noah Brown"/>
  </r>
  <r>
    <s v="ORD-10359"/>
    <x v="358"/>
    <d v="2025-07-03T00:00:00"/>
    <s v="Customer 075"/>
    <x v="1"/>
    <x v="2"/>
    <s v="New South Wales"/>
    <x v="1"/>
    <x v="1"/>
    <s v="Product Storage 11"/>
    <n v="3"/>
    <n v="464"/>
    <n v="0.15"/>
    <n v="1183.2"/>
    <n v="233.09"/>
    <s v="First Class"/>
    <s v="Mia Taylor"/>
  </r>
  <r>
    <s v="ORD-10360"/>
    <x v="359"/>
    <d v="2025-07-07T00:00:00"/>
    <s v="Customer 002"/>
    <x v="2"/>
    <x v="3"/>
    <s v="Australian Capital Territory"/>
    <x v="2"/>
    <x v="2"/>
    <s v="Product Phones 12"/>
    <n v="6"/>
    <n v="511"/>
    <n v="0.2"/>
    <n v="2452.8000000000002"/>
    <n v="309.05"/>
    <s v="Same Day"/>
    <s v="Liam Wilson"/>
  </r>
  <r>
    <s v="ORD-10361"/>
    <x v="360"/>
    <d v="2025-07-04T00:00:00"/>
    <s v="Customer 025"/>
    <x v="0"/>
    <x v="0"/>
    <s v="South Australia"/>
    <x v="0"/>
    <x v="3"/>
    <s v="Product Chairs 1"/>
    <n v="1"/>
    <n v="558"/>
    <n v="0"/>
    <n v="558"/>
    <n v="100.44"/>
    <s v="Standard Class"/>
    <s v="Ava Williams"/>
  </r>
  <r>
    <s v="ORD-10362"/>
    <x v="361"/>
    <d v="2025-07-08T00:00:00"/>
    <s v="Customer 048"/>
    <x v="1"/>
    <x v="1"/>
    <s v="Northern Territory"/>
    <x v="1"/>
    <x v="4"/>
    <s v="Product Binders 2"/>
    <n v="4"/>
    <n v="605"/>
    <n v="0"/>
    <n v="2420"/>
    <n v="24.2"/>
    <s v="Second Class"/>
    <s v="Noah Brown"/>
  </r>
  <r>
    <s v="ORD-10363"/>
    <x v="362"/>
    <d v="2025-07-13T00:00:00"/>
    <s v="Customer 071"/>
    <x v="2"/>
    <x v="2"/>
    <s v="Tasmania"/>
    <x v="2"/>
    <x v="5"/>
    <s v="Product Copiers 3"/>
    <n v="7"/>
    <n v="652"/>
    <n v="0.05"/>
    <n v="4335.8"/>
    <n v="949.54"/>
    <s v="First Class"/>
    <s v="Mia Taylor"/>
  </r>
  <r>
    <s v="ORD-10364"/>
    <x v="363"/>
    <d v="2025-07-09T00:00:00"/>
    <s v="Customer 094"/>
    <x v="0"/>
    <x v="3"/>
    <s v="Western Australia"/>
    <x v="0"/>
    <x v="3"/>
    <s v="Product Chairs 4"/>
    <n v="2"/>
    <n v="699"/>
    <n v="0.1"/>
    <n v="1258.2"/>
    <n v="148.47"/>
    <s v="Same Day"/>
    <s v="Liam Wilson"/>
  </r>
  <r>
    <s v="ORD-10365"/>
    <x v="364"/>
    <d v="2025-07-14T00:00:00"/>
    <s v="Customer 021"/>
    <x v="1"/>
    <x v="0"/>
    <s v="Victoria"/>
    <x v="1"/>
    <x v="4"/>
    <s v="Product Binders 5"/>
    <n v="5"/>
    <n v="746"/>
    <n v="0.15"/>
    <n v="3170.5"/>
    <n v="624.59"/>
    <s v="Standard Class"/>
    <s v="Ava Williams"/>
  </r>
  <r>
    <s v="ORD-10366"/>
    <x v="365"/>
    <d v="2025-07-18T00:00:00"/>
    <s v="Customer 044"/>
    <x v="2"/>
    <x v="1"/>
    <s v="Queensland"/>
    <x v="2"/>
    <x v="5"/>
    <s v="Product Copiers 6"/>
    <n v="8"/>
    <n v="793"/>
    <n v="0.2"/>
    <n v="5075.2"/>
    <n v="639.48"/>
    <s v="Second Class"/>
    <s v="Noah Brown"/>
  </r>
  <r>
    <s v="ORD-10367"/>
    <x v="366"/>
    <d v="2025-07-15T00:00:00"/>
    <s v="Customer 067"/>
    <x v="0"/>
    <x v="2"/>
    <s v="New South Wales"/>
    <x v="0"/>
    <x v="3"/>
    <s v="Product Chairs 7"/>
    <n v="3"/>
    <n v="60"/>
    <n v="0"/>
    <n v="180"/>
    <n v="32.4"/>
    <s v="First Class"/>
    <s v="Mia Taylor"/>
  </r>
  <r>
    <s v="ORD-10368"/>
    <x v="367"/>
    <d v="2025-07-19T00:00:00"/>
    <s v="Customer 090"/>
    <x v="1"/>
    <x v="3"/>
    <s v="Australian Capital Territory"/>
    <x v="1"/>
    <x v="4"/>
    <s v="Product Binders 8"/>
    <n v="6"/>
    <n v="107"/>
    <n v="0"/>
    <n v="642"/>
    <n v="186.18"/>
    <s v="Same Day"/>
    <s v="Liam Wilson"/>
  </r>
  <r>
    <s v="ORD-10369"/>
    <x v="368"/>
    <d v="2025-07-16T00:00:00"/>
    <s v="Customer 017"/>
    <x v="2"/>
    <x v="0"/>
    <s v="South Australia"/>
    <x v="2"/>
    <x v="5"/>
    <s v="Product Copiers 9"/>
    <n v="1"/>
    <n v="154"/>
    <n v="0.05"/>
    <n v="146.30000000000001"/>
    <n v="32.04"/>
    <s v="Standard Class"/>
    <s v="Ava Williams"/>
  </r>
  <r>
    <s v="ORD-10370"/>
    <x v="369"/>
    <d v="2025-07-20T00:00:00"/>
    <s v="Customer 040"/>
    <x v="0"/>
    <x v="1"/>
    <s v="Northern Territory"/>
    <x v="0"/>
    <x v="6"/>
    <s v="Product Tables 10"/>
    <n v="4"/>
    <n v="201"/>
    <n v="0.1"/>
    <n v="723.6"/>
    <n v="85.38"/>
    <s v="Second Class"/>
    <s v="Noah Brown"/>
  </r>
  <r>
    <s v="ORD-10371"/>
    <x v="370"/>
    <d v="2025-07-25T00:00:00"/>
    <s v="Customer 063"/>
    <x v="1"/>
    <x v="2"/>
    <s v="Tasmania"/>
    <x v="1"/>
    <x v="7"/>
    <s v="Product Paper 11"/>
    <n v="7"/>
    <n v="248"/>
    <n v="0.15"/>
    <n v="1475.6"/>
    <n v="290.69"/>
    <s v="First Class"/>
    <s v="Mia Taylor"/>
  </r>
  <r>
    <s v="ORD-10372"/>
    <x v="371"/>
    <d v="2025-07-21T00:00:00"/>
    <s v="Customer 086"/>
    <x v="2"/>
    <x v="3"/>
    <s v="Western Australia"/>
    <x v="2"/>
    <x v="8"/>
    <s v="Product Accessories 12"/>
    <n v="2"/>
    <n v="295"/>
    <n v="0.2"/>
    <n v="472"/>
    <n v="59.47"/>
    <s v="Same Day"/>
    <s v="Liam Wilson"/>
  </r>
  <r>
    <s v="ORD-10373"/>
    <x v="372"/>
    <d v="2025-07-26T00:00:00"/>
    <s v="Customer 013"/>
    <x v="0"/>
    <x v="0"/>
    <s v="Victoria"/>
    <x v="0"/>
    <x v="6"/>
    <s v="Product Tables 1"/>
    <n v="5"/>
    <n v="342"/>
    <n v="0"/>
    <n v="1710"/>
    <n v="307.8"/>
    <s v="Standard Class"/>
    <s v="Ava Williams"/>
  </r>
  <r>
    <s v="ORD-10374"/>
    <x v="373"/>
    <d v="2025-07-30T00:00:00"/>
    <s v="Customer 036"/>
    <x v="1"/>
    <x v="1"/>
    <s v="Queensland"/>
    <x v="1"/>
    <x v="7"/>
    <s v="Product Paper 2"/>
    <n v="8"/>
    <n v="389"/>
    <n v="0"/>
    <n v="3112"/>
    <n v="902.48"/>
    <s v="Second Class"/>
    <s v="Noah Brown"/>
  </r>
  <r>
    <s v="ORD-10375"/>
    <x v="374"/>
    <d v="2025-07-27T00:00:00"/>
    <s v="Customer 059"/>
    <x v="2"/>
    <x v="2"/>
    <s v="New South Wales"/>
    <x v="2"/>
    <x v="8"/>
    <s v="Product Accessories 3"/>
    <n v="3"/>
    <n v="436"/>
    <n v="0.05"/>
    <n v="1242.5999999999999"/>
    <n v="272.13"/>
    <s v="First Class"/>
    <s v="Mia Taylor"/>
  </r>
  <r>
    <s v="ORD-10376"/>
    <x v="375"/>
    <d v="2025-07-31T00:00:00"/>
    <s v="Customer 082"/>
    <x v="0"/>
    <x v="3"/>
    <s v="Australian Capital Territory"/>
    <x v="0"/>
    <x v="6"/>
    <s v="Product Tables 4"/>
    <n v="6"/>
    <n v="483"/>
    <n v="0.1"/>
    <n v="2608.1999999999998"/>
    <n v="307.77"/>
    <s v="Same Day"/>
    <s v="Liam Wilson"/>
  </r>
  <r>
    <s v="ORD-10377"/>
    <x v="376"/>
    <d v="2025-07-28T00:00:00"/>
    <s v="Customer 009"/>
    <x v="1"/>
    <x v="0"/>
    <s v="South Australia"/>
    <x v="1"/>
    <x v="7"/>
    <s v="Product Paper 5"/>
    <n v="1"/>
    <n v="530"/>
    <n v="0.15"/>
    <n v="450.5"/>
    <n v="88.75"/>
    <s v="Standard Class"/>
    <s v="Ava Williams"/>
  </r>
  <r>
    <s v="ORD-10378"/>
    <x v="377"/>
    <d v="2025-08-01T00:00:00"/>
    <s v="Customer 032"/>
    <x v="2"/>
    <x v="1"/>
    <s v="Northern Territory"/>
    <x v="2"/>
    <x v="8"/>
    <s v="Product Accessories 6"/>
    <n v="4"/>
    <n v="577"/>
    <n v="0.2"/>
    <n v="1846.4"/>
    <n v="232.65"/>
    <s v="Second Class"/>
    <s v="Noah Brown"/>
  </r>
  <r>
    <s v="ORD-10379"/>
    <x v="378"/>
    <d v="2025-08-06T00:00:00"/>
    <s v="Customer 055"/>
    <x v="0"/>
    <x v="2"/>
    <s v="Tasmania"/>
    <x v="0"/>
    <x v="0"/>
    <s v="Product Bookcases 7"/>
    <n v="7"/>
    <n v="624"/>
    <n v="0"/>
    <n v="4368"/>
    <n v="786.24"/>
    <s v="First Class"/>
    <s v="Mia Taylor"/>
  </r>
  <r>
    <s v="ORD-10380"/>
    <x v="379"/>
    <d v="2025-08-03T00:00:00"/>
    <s v="Customer 078"/>
    <x v="1"/>
    <x v="3"/>
    <s v="Western Australia"/>
    <x v="1"/>
    <x v="1"/>
    <s v="Product Storage 8"/>
    <n v="2"/>
    <n v="671"/>
    <n v="0"/>
    <n v="1342"/>
    <n v="389.18"/>
    <s v="Same Day"/>
    <s v="Liam Wilson"/>
  </r>
  <r>
    <s v="ORD-10381"/>
    <x v="380"/>
    <d v="2025-08-07T00:00:00"/>
    <s v="Customer 005"/>
    <x v="2"/>
    <x v="0"/>
    <s v="Victoria"/>
    <x v="2"/>
    <x v="2"/>
    <s v="Product Phones 9"/>
    <n v="5"/>
    <n v="718"/>
    <n v="0.05"/>
    <n v="3410.5"/>
    <n v="-208.04"/>
    <s v="Standard Class"/>
    <s v="Ava Williams"/>
  </r>
  <r>
    <s v="ORD-10382"/>
    <x v="381"/>
    <d v="2025-08-12T00:00:00"/>
    <s v="Customer 028"/>
    <x v="0"/>
    <x v="1"/>
    <s v="Queensland"/>
    <x v="0"/>
    <x v="0"/>
    <s v="Product Bookcases 10"/>
    <n v="8"/>
    <n v="765"/>
    <n v="0.1"/>
    <n v="5508"/>
    <n v="649.94000000000005"/>
    <s v="Second Class"/>
    <s v="Noah Brown"/>
  </r>
  <r>
    <s v="ORD-10383"/>
    <x v="382"/>
    <d v="2025-08-08T00:00:00"/>
    <s v="Customer 051"/>
    <x v="1"/>
    <x v="2"/>
    <s v="New South Wales"/>
    <x v="1"/>
    <x v="1"/>
    <s v="Product Storage 11"/>
    <n v="3"/>
    <n v="32"/>
    <n v="0.15"/>
    <n v="81.599999999999994"/>
    <n v="16.079999999999998"/>
    <s v="First Class"/>
    <s v="Mia Taylor"/>
  </r>
  <r>
    <s v="ORD-10384"/>
    <x v="383"/>
    <d v="2025-08-13T00:00:00"/>
    <s v="Customer 074"/>
    <x v="2"/>
    <x v="3"/>
    <s v="Australian Capital Territory"/>
    <x v="2"/>
    <x v="2"/>
    <s v="Product Phones 12"/>
    <n v="6"/>
    <n v="79"/>
    <n v="0.2"/>
    <n v="379.2"/>
    <n v="47.78"/>
    <s v="Same Day"/>
    <s v="Liam Wilson"/>
  </r>
  <r>
    <s v="ORD-10385"/>
    <x v="384"/>
    <d v="2025-08-09T00:00:00"/>
    <s v="Customer 001"/>
    <x v="0"/>
    <x v="0"/>
    <s v="South Australia"/>
    <x v="0"/>
    <x v="0"/>
    <s v="Product Bookcases 1"/>
    <n v="1"/>
    <n v="126"/>
    <n v="0"/>
    <n v="126"/>
    <n v="22.68"/>
    <s v="Standard Class"/>
    <s v="Ava Williams"/>
  </r>
  <r>
    <s v="ORD-10386"/>
    <x v="385"/>
    <d v="2025-08-14T00:00:00"/>
    <s v="Customer 024"/>
    <x v="1"/>
    <x v="1"/>
    <s v="Northern Territory"/>
    <x v="1"/>
    <x v="1"/>
    <s v="Product Storage 2"/>
    <n v="4"/>
    <n v="173"/>
    <n v="0"/>
    <n v="692"/>
    <n v="200.68"/>
    <s v="Second Class"/>
    <s v="Noah Brown"/>
  </r>
  <r>
    <s v="ORD-10387"/>
    <x v="386"/>
    <d v="2025-08-18T00:00:00"/>
    <s v="Customer 047"/>
    <x v="2"/>
    <x v="2"/>
    <s v="Tasmania"/>
    <x v="2"/>
    <x v="2"/>
    <s v="Product Phones 3"/>
    <n v="7"/>
    <n v="220"/>
    <n v="0.05"/>
    <n v="1463"/>
    <n v="320.39999999999998"/>
    <s v="First Class"/>
    <s v="Mia Taylor"/>
  </r>
  <r>
    <s v="ORD-10388"/>
    <x v="387"/>
    <d v="2025-08-15T00:00:00"/>
    <s v="Customer 070"/>
    <x v="0"/>
    <x v="3"/>
    <s v="Western Australia"/>
    <x v="0"/>
    <x v="3"/>
    <s v="Product Chairs 4"/>
    <n v="2"/>
    <n v="267"/>
    <n v="0.1"/>
    <n v="480.6"/>
    <n v="56.71"/>
    <s v="Same Day"/>
    <s v="Liam Wilson"/>
  </r>
  <r>
    <s v="ORD-10389"/>
    <x v="388"/>
    <d v="2025-08-19T00:00:00"/>
    <s v="Customer 093"/>
    <x v="1"/>
    <x v="0"/>
    <s v="Victoria"/>
    <x v="1"/>
    <x v="4"/>
    <s v="Product Binders 5"/>
    <n v="5"/>
    <n v="314"/>
    <n v="0.15"/>
    <n v="1334.5"/>
    <n v="262.89999999999998"/>
    <s v="Standard Class"/>
    <s v="Ava Williams"/>
  </r>
  <r>
    <s v="ORD-10390"/>
    <x v="389"/>
    <d v="2025-08-24T00:00:00"/>
    <s v="Customer 020"/>
    <x v="2"/>
    <x v="1"/>
    <s v="Queensland"/>
    <x v="2"/>
    <x v="5"/>
    <s v="Product Copiers 6"/>
    <n v="8"/>
    <n v="361"/>
    <n v="0.2"/>
    <n v="2310.4"/>
    <n v="291.11"/>
    <s v="Second Class"/>
    <s v="Noah Brown"/>
  </r>
  <r>
    <s v="ORD-10391"/>
    <x v="390"/>
    <d v="2025-08-20T00:00:00"/>
    <s v="Customer 043"/>
    <x v="0"/>
    <x v="2"/>
    <s v="New South Wales"/>
    <x v="0"/>
    <x v="3"/>
    <s v="Product Chairs 7"/>
    <n v="3"/>
    <n v="408"/>
    <n v="0"/>
    <n v="1224"/>
    <n v="220.32"/>
    <s v="First Class"/>
    <s v="Mia Taylor"/>
  </r>
  <r>
    <s v="ORD-10392"/>
    <x v="391"/>
    <d v="2025-08-25T00:00:00"/>
    <s v="Customer 066"/>
    <x v="1"/>
    <x v="3"/>
    <s v="Australian Capital Territory"/>
    <x v="1"/>
    <x v="4"/>
    <s v="Product Binders 8"/>
    <n v="6"/>
    <n v="455"/>
    <n v="0"/>
    <n v="2730"/>
    <n v="791.7"/>
    <s v="Same Day"/>
    <s v="Liam Wilson"/>
  </r>
  <r>
    <s v="ORD-10393"/>
    <x v="392"/>
    <d v="2025-08-21T00:00:00"/>
    <s v="Customer 089"/>
    <x v="2"/>
    <x v="0"/>
    <s v="South Australia"/>
    <x v="2"/>
    <x v="5"/>
    <s v="Product Copiers 9"/>
    <n v="1"/>
    <n v="502"/>
    <n v="0.05"/>
    <n v="476.9"/>
    <n v="104.44"/>
    <s v="Standard Class"/>
    <s v="Ava Williams"/>
  </r>
  <r>
    <s v="ORD-10394"/>
    <x v="393"/>
    <d v="2025-08-26T00:00:00"/>
    <s v="Customer 016"/>
    <x v="0"/>
    <x v="1"/>
    <s v="Northern Territory"/>
    <x v="0"/>
    <x v="3"/>
    <s v="Product Chairs 10"/>
    <n v="4"/>
    <n v="549"/>
    <n v="0.1"/>
    <n v="1976.4"/>
    <n v="233.22"/>
    <s v="Second Class"/>
    <s v="Noah Brown"/>
  </r>
  <r>
    <s v="ORD-10395"/>
    <x v="394"/>
    <d v="2025-08-30T00:00:00"/>
    <s v="Customer 039"/>
    <x v="1"/>
    <x v="2"/>
    <s v="Tasmania"/>
    <x v="1"/>
    <x v="4"/>
    <s v="Product Binders 11"/>
    <n v="7"/>
    <n v="596"/>
    <n v="0.15"/>
    <n v="3546.2"/>
    <n v="698.6"/>
    <s v="First Class"/>
    <s v="Mia Taylor"/>
  </r>
  <r>
    <s v="ORD-10396"/>
    <x v="395"/>
    <d v="2025-08-27T00:00:00"/>
    <s v="Customer 062"/>
    <x v="2"/>
    <x v="3"/>
    <s v="Western Australia"/>
    <x v="2"/>
    <x v="5"/>
    <s v="Product Copiers 12"/>
    <n v="2"/>
    <n v="643"/>
    <n v="0.2"/>
    <n v="1028.8"/>
    <n v="129.63"/>
    <s v="Same Day"/>
    <s v="Liam Wilson"/>
  </r>
  <r>
    <s v="ORD-10397"/>
    <x v="396"/>
    <d v="2025-08-31T00:00:00"/>
    <s v="Customer 085"/>
    <x v="0"/>
    <x v="0"/>
    <s v="Victoria"/>
    <x v="0"/>
    <x v="6"/>
    <s v="Product Tables 1"/>
    <n v="5"/>
    <n v="690"/>
    <n v="0"/>
    <n v="3450"/>
    <n v="621"/>
    <s v="Standard Class"/>
    <s v="Ava Williams"/>
  </r>
  <r>
    <s v="ORD-10398"/>
    <x v="397"/>
    <d v="2025-09-05T00:00:00"/>
    <s v="Customer 012"/>
    <x v="1"/>
    <x v="1"/>
    <s v="Queensland"/>
    <x v="1"/>
    <x v="7"/>
    <s v="Product Paper 2"/>
    <n v="8"/>
    <n v="737"/>
    <n v="0"/>
    <n v="5896"/>
    <n v="1709.84"/>
    <s v="Second Class"/>
    <s v="Noah Brown"/>
  </r>
  <r>
    <s v="ORD-10399"/>
    <x v="398"/>
    <d v="2025-09-01T00:00:00"/>
    <s v="Customer 035"/>
    <x v="2"/>
    <x v="2"/>
    <s v="New South Wales"/>
    <x v="2"/>
    <x v="8"/>
    <s v="Product Accessories 3"/>
    <n v="3"/>
    <n v="784"/>
    <n v="0.05"/>
    <n v="2234.4"/>
    <n v="489.33"/>
    <s v="First Class"/>
    <s v="Mia Taylor"/>
  </r>
  <r>
    <s v="ORD-10400"/>
    <x v="399"/>
    <d v="2025-09-06T00:00:00"/>
    <s v="Customer 058"/>
    <x v="0"/>
    <x v="3"/>
    <s v="Australian Capital Territory"/>
    <x v="0"/>
    <x v="6"/>
    <s v="Product Tables 4"/>
    <n v="6"/>
    <n v="51"/>
    <n v="0.1"/>
    <n v="275.39999999999998"/>
    <n v="-44.61"/>
    <s v="Same Day"/>
    <s v="Liam Wilson"/>
  </r>
  <r>
    <s v="ORD-10401"/>
    <x v="400"/>
    <d v="2025-09-02T00:00:00"/>
    <s v="Customer 081"/>
    <x v="1"/>
    <x v="0"/>
    <s v="South Australia"/>
    <x v="1"/>
    <x v="7"/>
    <s v="Product Paper 5"/>
    <n v="1"/>
    <n v="98"/>
    <n v="0.15"/>
    <n v="83.3"/>
    <n v="16.41"/>
    <s v="Standard Class"/>
    <s v="Ava Williams"/>
  </r>
  <r>
    <s v="ORD-10402"/>
    <x v="401"/>
    <d v="2025-09-07T00:00:00"/>
    <s v="Customer 008"/>
    <x v="2"/>
    <x v="1"/>
    <s v="Northern Territory"/>
    <x v="2"/>
    <x v="8"/>
    <s v="Product Accessories 6"/>
    <n v="4"/>
    <n v="145"/>
    <n v="0.2"/>
    <n v="464"/>
    <n v="58.46"/>
    <s v="Second Class"/>
    <s v="Noah Brown"/>
  </r>
  <r>
    <s v="ORD-10403"/>
    <x v="402"/>
    <d v="2025-09-11T00:00:00"/>
    <s v="Customer 031"/>
    <x v="0"/>
    <x v="2"/>
    <s v="Tasmania"/>
    <x v="0"/>
    <x v="6"/>
    <s v="Product Tables 7"/>
    <n v="7"/>
    <n v="192"/>
    <n v="0"/>
    <n v="1344"/>
    <n v="241.92"/>
    <s v="First Class"/>
    <s v="Mia Taylor"/>
  </r>
  <r>
    <s v="ORD-10404"/>
    <x v="403"/>
    <d v="2025-09-08T00:00:00"/>
    <s v="Customer 054"/>
    <x v="1"/>
    <x v="3"/>
    <s v="Western Australia"/>
    <x v="1"/>
    <x v="7"/>
    <s v="Product Paper 8"/>
    <n v="2"/>
    <n v="239"/>
    <n v="0"/>
    <n v="478"/>
    <n v="138.62"/>
    <s v="Same Day"/>
    <s v="Liam Wilson"/>
  </r>
  <r>
    <s v="ORD-10405"/>
    <x v="404"/>
    <d v="2025-09-13T00:00:00"/>
    <s v="Customer 077"/>
    <x v="2"/>
    <x v="0"/>
    <s v="Victoria"/>
    <x v="2"/>
    <x v="8"/>
    <s v="Product Accessories 9"/>
    <n v="5"/>
    <n v="286"/>
    <n v="0.05"/>
    <n v="1358.5"/>
    <n v="297.51"/>
    <s v="Standard Class"/>
    <s v="Ava Williams"/>
  </r>
  <r>
    <s v="ORD-10406"/>
    <x v="405"/>
    <d v="2025-09-17T00:00:00"/>
    <s v="Customer 004"/>
    <x v="0"/>
    <x v="1"/>
    <s v="Queensland"/>
    <x v="0"/>
    <x v="0"/>
    <s v="Product Bookcases 10"/>
    <n v="8"/>
    <n v="333"/>
    <n v="0.1"/>
    <n v="2397.6"/>
    <n v="282.92"/>
    <s v="Second Class"/>
    <s v="Noah Brown"/>
  </r>
  <r>
    <s v="ORD-10407"/>
    <x v="406"/>
    <d v="2025-09-14T00:00:00"/>
    <s v="Customer 027"/>
    <x v="1"/>
    <x v="2"/>
    <s v="New South Wales"/>
    <x v="1"/>
    <x v="1"/>
    <s v="Product Storage 11"/>
    <n v="3"/>
    <n v="380"/>
    <n v="0.15"/>
    <n v="969"/>
    <n v="190.89"/>
    <s v="First Class"/>
    <s v="Mia Taylor"/>
  </r>
  <r>
    <s v="ORD-10408"/>
    <x v="407"/>
    <d v="2025-09-18T00:00:00"/>
    <s v="Customer 050"/>
    <x v="2"/>
    <x v="3"/>
    <s v="Australian Capital Territory"/>
    <x v="2"/>
    <x v="2"/>
    <s v="Product Phones 12"/>
    <n v="6"/>
    <n v="427"/>
    <n v="0.2"/>
    <n v="2049.6"/>
    <n v="258.25"/>
    <s v="Same Day"/>
    <s v="Liam Wilson"/>
  </r>
  <r>
    <s v="ORD-10409"/>
    <x v="408"/>
    <d v="2025-09-15T00:00:00"/>
    <s v="Customer 073"/>
    <x v="0"/>
    <x v="0"/>
    <s v="South Australia"/>
    <x v="0"/>
    <x v="0"/>
    <s v="Product Bookcases 1"/>
    <n v="1"/>
    <n v="474"/>
    <n v="0"/>
    <n v="474"/>
    <n v="85.32"/>
    <s v="Standard Class"/>
    <s v="Ava Williams"/>
  </r>
  <r>
    <s v="ORD-10410"/>
    <x v="409"/>
    <d v="2025-09-19T00:00:00"/>
    <s v="Customer 096"/>
    <x v="1"/>
    <x v="1"/>
    <s v="Northern Territory"/>
    <x v="1"/>
    <x v="1"/>
    <s v="Product Storage 2"/>
    <n v="4"/>
    <n v="521"/>
    <n v="0"/>
    <n v="2084"/>
    <n v="604.36"/>
    <s v="Second Class"/>
    <s v="Noah Brown"/>
  </r>
  <r>
    <s v="ORD-10411"/>
    <x v="410"/>
    <d v="2025-09-24T00:00:00"/>
    <s v="Customer 023"/>
    <x v="2"/>
    <x v="2"/>
    <s v="Tasmania"/>
    <x v="2"/>
    <x v="2"/>
    <s v="Product Phones 3"/>
    <n v="7"/>
    <n v="568"/>
    <n v="0.05"/>
    <n v="3777.2"/>
    <n v="827.21"/>
    <s v="First Class"/>
    <s v="Mia Taylor"/>
  </r>
  <r>
    <s v="ORD-10412"/>
    <x v="411"/>
    <d v="2025-09-20T00:00:00"/>
    <s v="Customer 046"/>
    <x v="0"/>
    <x v="3"/>
    <s v="Western Australia"/>
    <x v="0"/>
    <x v="0"/>
    <s v="Product Bookcases 4"/>
    <n v="2"/>
    <n v="615"/>
    <n v="0.1"/>
    <n v="1107"/>
    <n v="130.63"/>
    <s v="Same Day"/>
    <s v="Liam Wilson"/>
  </r>
  <r>
    <s v="ORD-10413"/>
    <x v="412"/>
    <d v="2025-09-25T00:00:00"/>
    <s v="Customer 069"/>
    <x v="1"/>
    <x v="0"/>
    <s v="Victoria"/>
    <x v="1"/>
    <x v="1"/>
    <s v="Product Storage 5"/>
    <n v="5"/>
    <n v="662"/>
    <n v="0.15"/>
    <n v="2813.5"/>
    <n v="554.26"/>
    <s v="Standard Class"/>
    <s v="Ava Williams"/>
  </r>
  <r>
    <s v="ORD-10414"/>
    <x v="413"/>
    <d v="2025-09-29T00:00:00"/>
    <s v="Customer 092"/>
    <x v="2"/>
    <x v="1"/>
    <s v="Queensland"/>
    <x v="2"/>
    <x v="2"/>
    <s v="Product Phones 6"/>
    <n v="8"/>
    <n v="709"/>
    <n v="0.2"/>
    <n v="4537.6000000000004"/>
    <n v="571.74"/>
    <s v="Second Class"/>
    <s v="Noah Brown"/>
  </r>
  <r>
    <s v="ORD-10415"/>
    <x v="414"/>
    <d v="2025-09-26T00:00:00"/>
    <s v="Customer 019"/>
    <x v="0"/>
    <x v="2"/>
    <s v="New South Wales"/>
    <x v="0"/>
    <x v="3"/>
    <s v="Product Chairs 7"/>
    <n v="3"/>
    <n v="756"/>
    <n v="0"/>
    <n v="2268"/>
    <n v="408.24"/>
    <s v="First Class"/>
    <s v="Mia Taylor"/>
  </r>
  <r>
    <s v="ORD-10416"/>
    <x v="415"/>
    <d v="2025-09-30T00:00:00"/>
    <s v="Customer 042"/>
    <x v="1"/>
    <x v="3"/>
    <s v="Australian Capital Territory"/>
    <x v="1"/>
    <x v="4"/>
    <s v="Product Binders 8"/>
    <n v="6"/>
    <n v="23"/>
    <n v="0"/>
    <n v="138"/>
    <n v="40.020000000000003"/>
    <s v="Same Day"/>
    <s v="Liam Wilson"/>
  </r>
  <r>
    <s v="ORD-10417"/>
    <x v="416"/>
    <d v="2025-09-27T00:00:00"/>
    <s v="Customer 065"/>
    <x v="2"/>
    <x v="0"/>
    <s v="South Australia"/>
    <x v="2"/>
    <x v="5"/>
    <s v="Product Copiers 9"/>
    <n v="1"/>
    <n v="70"/>
    <n v="0.05"/>
    <n v="66.5"/>
    <n v="14.56"/>
    <s v="Standard Class"/>
    <s v="Ava Williams"/>
  </r>
  <r>
    <s v="ORD-10418"/>
    <x v="417"/>
    <d v="2025-10-01T00:00:00"/>
    <s v="Customer 088"/>
    <x v="0"/>
    <x v="1"/>
    <s v="Northern Territory"/>
    <x v="0"/>
    <x v="3"/>
    <s v="Product Chairs 10"/>
    <n v="4"/>
    <n v="117"/>
    <n v="0.1"/>
    <n v="421.2"/>
    <n v="49.7"/>
    <s v="Second Class"/>
    <s v="Noah Brown"/>
  </r>
  <r>
    <s v="ORD-10419"/>
    <x v="418"/>
    <d v="2025-10-06T00:00:00"/>
    <s v="Customer 015"/>
    <x v="1"/>
    <x v="2"/>
    <s v="Tasmania"/>
    <x v="1"/>
    <x v="4"/>
    <s v="Product Binders 11"/>
    <n v="7"/>
    <n v="164"/>
    <n v="0.15"/>
    <n v="975.8"/>
    <n v="-80.989999999999995"/>
    <s v="First Class"/>
    <s v="Mia Taylor"/>
  </r>
  <r>
    <s v="ORD-10420"/>
    <x v="419"/>
    <d v="2025-10-02T00:00:00"/>
    <s v="Customer 038"/>
    <x v="2"/>
    <x v="3"/>
    <s v="Western Australia"/>
    <x v="2"/>
    <x v="5"/>
    <s v="Product Copiers 12"/>
    <n v="2"/>
    <n v="211"/>
    <n v="0.2"/>
    <n v="337.6"/>
    <n v="42.54"/>
    <s v="Same Day"/>
    <s v="Liam Wilson"/>
  </r>
  <r>
    <s v="ORD-10421"/>
    <x v="420"/>
    <d v="2025-10-07T00:00:00"/>
    <s v="Customer 061"/>
    <x v="0"/>
    <x v="0"/>
    <s v="Victoria"/>
    <x v="0"/>
    <x v="3"/>
    <s v="Product Chairs 1"/>
    <n v="5"/>
    <n v="258"/>
    <n v="0"/>
    <n v="1290"/>
    <n v="232.2"/>
    <s v="Standard Class"/>
    <s v="Ava Williams"/>
  </r>
  <r>
    <s v="ORD-10422"/>
    <x v="421"/>
    <d v="2025-10-11T00:00:00"/>
    <s v="Customer 084"/>
    <x v="1"/>
    <x v="1"/>
    <s v="Queensland"/>
    <x v="1"/>
    <x v="4"/>
    <s v="Product Binders 2"/>
    <n v="8"/>
    <n v="305"/>
    <n v="0"/>
    <n v="2440"/>
    <n v="707.6"/>
    <s v="Second Class"/>
    <s v="Noah Brown"/>
  </r>
  <r>
    <s v="ORD-10423"/>
    <x v="422"/>
    <d v="2025-10-08T00:00:00"/>
    <s v="Customer 011"/>
    <x v="2"/>
    <x v="2"/>
    <s v="New South Wales"/>
    <x v="2"/>
    <x v="5"/>
    <s v="Product Copiers 3"/>
    <n v="3"/>
    <n v="352"/>
    <n v="0.05"/>
    <n v="1003.2"/>
    <n v="219.7"/>
    <s v="First Class"/>
    <s v="Mia Taylor"/>
  </r>
  <r>
    <s v="ORD-10424"/>
    <x v="423"/>
    <d v="2025-10-12T00:00:00"/>
    <s v="Customer 034"/>
    <x v="0"/>
    <x v="3"/>
    <s v="Australian Capital Territory"/>
    <x v="0"/>
    <x v="6"/>
    <s v="Product Tables 4"/>
    <n v="6"/>
    <n v="399"/>
    <n v="0.1"/>
    <n v="2154.6"/>
    <n v="254.24"/>
    <s v="Same Day"/>
    <s v="Liam Wilson"/>
  </r>
  <r>
    <s v="ORD-10425"/>
    <x v="424"/>
    <d v="2025-10-09T00:00:00"/>
    <s v="Customer 057"/>
    <x v="1"/>
    <x v="0"/>
    <s v="South Australia"/>
    <x v="1"/>
    <x v="7"/>
    <s v="Product Paper 5"/>
    <n v="1"/>
    <n v="446"/>
    <n v="0.15"/>
    <n v="379.1"/>
    <n v="74.680000000000007"/>
    <s v="Standard Class"/>
    <s v="Ava Williams"/>
  </r>
  <r>
    <s v="ORD-10426"/>
    <x v="425"/>
    <d v="2025-10-13T00:00:00"/>
    <s v="Customer 080"/>
    <x v="2"/>
    <x v="1"/>
    <s v="Northern Territory"/>
    <x v="2"/>
    <x v="8"/>
    <s v="Product Accessories 6"/>
    <n v="4"/>
    <n v="493"/>
    <n v="0.2"/>
    <n v="1577.6"/>
    <n v="198.78"/>
    <s v="Second Class"/>
    <s v="Noah Brown"/>
  </r>
  <r>
    <s v="ORD-10427"/>
    <x v="426"/>
    <d v="2025-10-18T00:00:00"/>
    <s v="Customer 007"/>
    <x v="0"/>
    <x v="2"/>
    <s v="Tasmania"/>
    <x v="0"/>
    <x v="6"/>
    <s v="Product Tables 7"/>
    <n v="7"/>
    <n v="540"/>
    <n v="0"/>
    <n v="3780"/>
    <n v="680.4"/>
    <s v="First Class"/>
    <s v="Mia Taylor"/>
  </r>
  <r>
    <s v="ORD-10428"/>
    <x v="427"/>
    <d v="2025-10-14T00:00:00"/>
    <s v="Customer 030"/>
    <x v="1"/>
    <x v="3"/>
    <s v="Western Australia"/>
    <x v="1"/>
    <x v="7"/>
    <s v="Product Paper 8"/>
    <n v="2"/>
    <n v="587"/>
    <n v="0"/>
    <n v="1174"/>
    <n v="340.46"/>
    <s v="Same Day"/>
    <s v="Liam Wilson"/>
  </r>
  <r>
    <s v="ORD-10429"/>
    <x v="428"/>
    <d v="2025-10-19T00:00:00"/>
    <s v="Customer 053"/>
    <x v="2"/>
    <x v="0"/>
    <s v="Victoria"/>
    <x v="2"/>
    <x v="8"/>
    <s v="Product Accessories 9"/>
    <n v="5"/>
    <n v="634"/>
    <n v="0.05"/>
    <n v="3011.5"/>
    <n v="659.52"/>
    <s v="Standard Class"/>
    <s v="Ava Williams"/>
  </r>
  <r>
    <s v="ORD-10430"/>
    <x v="429"/>
    <d v="2025-10-24T00:00:00"/>
    <s v="Customer 076"/>
    <x v="0"/>
    <x v="1"/>
    <s v="Queensland"/>
    <x v="0"/>
    <x v="6"/>
    <s v="Product Tables 10"/>
    <n v="8"/>
    <n v="681"/>
    <n v="0.1"/>
    <n v="4903.2"/>
    <n v="578.58000000000004"/>
    <s v="Second Class"/>
    <s v="Noah Brown"/>
  </r>
  <r>
    <s v="ORD-10431"/>
    <x v="430"/>
    <d v="2025-10-20T00:00:00"/>
    <s v="Customer 003"/>
    <x v="1"/>
    <x v="2"/>
    <s v="New South Wales"/>
    <x v="1"/>
    <x v="7"/>
    <s v="Product Paper 11"/>
    <n v="3"/>
    <n v="728"/>
    <n v="0.15"/>
    <n v="1856.4"/>
    <n v="365.71"/>
    <s v="First Class"/>
    <s v="Mia Taylor"/>
  </r>
  <r>
    <s v="ORD-10432"/>
    <x v="431"/>
    <d v="2025-10-25T00:00:00"/>
    <s v="Customer 026"/>
    <x v="2"/>
    <x v="3"/>
    <s v="Australian Capital Territory"/>
    <x v="2"/>
    <x v="8"/>
    <s v="Product Accessories 12"/>
    <n v="6"/>
    <n v="775"/>
    <n v="0.2"/>
    <n v="3720"/>
    <n v="468.72"/>
    <s v="Same Day"/>
    <s v="Liam Wilson"/>
  </r>
  <r>
    <s v="ORD-10433"/>
    <x v="432"/>
    <d v="2025-10-21T00:00:00"/>
    <s v="Customer 049"/>
    <x v="0"/>
    <x v="0"/>
    <s v="South Australia"/>
    <x v="0"/>
    <x v="0"/>
    <s v="Product Bookcases 1"/>
    <n v="1"/>
    <n v="42"/>
    <n v="0"/>
    <n v="42"/>
    <n v="7.56"/>
    <s v="Standard Class"/>
    <s v="Ava Williams"/>
  </r>
  <r>
    <s v="ORD-10434"/>
    <x v="433"/>
    <d v="2025-10-26T00:00:00"/>
    <s v="Customer 072"/>
    <x v="1"/>
    <x v="1"/>
    <s v="Northern Territory"/>
    <x v="1"/>
    <x v="1"/>
    <s v="Product Storage 2"/>
    <n v="4"/>
    <n v="89"/>
    <n v="0"/>
    <n v="356"/>
    <n v="103.24"/>
    <s v="Second Class"/>
    <s v="Noah Brown"/>
  </r>
  <r>
    <s v="ORD-10435"/>
    <x v="434"/>
    <d v="2025-10-30T00:00:00"/>
    <s v="Customer 095"/>
    <x v="2"/>
    <x v="2"/>
    <s v="Tasmania"/>
    <x v="2"/>
    <x v="2"/>
    <s v="Product Phones 3"/>
    <n v="7"/>
    <n v="136"/>
    <n v="0.05"/>
    <n v="904.4"/>
    <n v="198.06"/>
    <s v="First Class"/>
    <s v="Mia Taylor"/>
  </r>
  <r>
    <s v="ORD-10436"/>
    <x v="435"/>
    <d v="2025-10-27T00:00:00"/>
    <s v="Customer 022"/>
    <x v="0"/>
    <x v="3"/>
    <s v="Western Australia"/>
    <x v="0"/>
    <x v="0"/>
    <s v="Product Bookcases 4"/>
    <n v="2"/>
    <n v="183"/>
    <n v="0.1"/>
    <n v="329.4"/>
    <n v="38.869999999999997"/>
    <s v="Same Day"/>
    <s v="Liam Wilson"/>
  </r>
  <r>
    <s v="ORD-10437"/>
    <x v="436"/>
    <d v="2025-10-31T00:00:00"/>
    <s v="Customer 045"/>
    <x v="1"/>
    <x v="0"/>
    <s v="Victoria"/>
    <x v="1"/>
    <x v="1"/>
    <s v="Product Storage 5"/>
    <n v="5"/>
    <n v="230"/>
    <n v="0.15"/>
    <n v="977.5"/>
    <n v="192.57"/>
    <s v="Standard Class"/>
    <s v="Ava Williams"/>
  </r>
  <r>
    <s v="ORD-10438"/>
    <x v="437"/>
    <d v="2025-11-05T00:00:00"/>
    <s v="Customer 068"/>
    <x v="2"/>
    <x v="1"/>
    <s v="Queensland"/>
    <x v="2"/>
    <x v="2"/>
    <s v="Product Phones 6"/>
    <n v="8"/>
    <n v="277"/>
    <n v="0.2"/>
    <n v="1772.8"/>
    <n v="-273.01"/>
    <s v="Second Class"/>
    <s v="Noah Brown"/>
  </r>
  <r>
    <s v="ORD-10439"/>
    <x v="438"/>
    <d v="2025-11-01T00:00:00"/>
    <s v="Customer 091"/>
    <x v="0"/>
    <x v="2"/>
    <s v="New South Wales"/>
    <x v="0"/>
    <x v="0"/>
    <s v="Product Bookcases 7"/>
    <n v="3"/>
    <n v="324"/>
    <n v="0"/>
    <n v="972"/>
    <n v="174.96"/>
    <s v="First Class"/>
    <s v="Mia Taylor"/>
  </r>
  <r>
    <s v="ORD-10440"/>
    <x v="439"/>
    <d v="2025-11-06T00:00:00"/>
    <s v="Customer 018"/>
    <x v="1"/>
    <x v="3"/>
    <s v="Australian Capital Territory"/>
    <x v="1"/>
    <x v="1"/>
    <s v="Product Storage 8"/>
    <n v="6"/>
    <n v="371"/>
    <n v="0"/>
    <n v="2226"/>
    <n v="645.54"/>
    <s v="Same Day"/>
    <s v="Liam Wilson"/>
  </r>
  <r>
    <s v="ORD-10441"/>
    <x v="440"/>
    <d v="2025-11-02T00:00:00"/>
    <s v="Customer 041"/>
    <x v="2"/>
    <x v="0"/>
    <s v="South Australia"/>
    <x v="2"/>
    <x v="2"/>
    <s v="Product Phones 9"/>
    <n v="1"/>
    <n v="418"/>
    <n v="0.05"/>
    <n v="397.1"/>
    <n v="86.96"/>
    <s v="Standard Class"/>
    <s v="Ava Williams"/>
  </r>
  <r>
    <s v="ORD-10442"/>
    <x v="441"/>
    <d v="2025-11-07T00:00:00"/>
    <s v="Customer 064"/>
    <x v="0"/>
    <x v="1"/>
    <s v="Northern Territory"/>
    <x v="0"/>
    <x v="3"/>
    <s v="Product Chairs 10"/>
    <n v="4"/>
    <n v="465"/>
    <n v="0.1"/>
    <n v="1674"/>
    <n v="197.53"/>
    <s v="Second Class"/>
    <s v="Noah Brown"/>
  </r>
  <r>
    <s v="ORD-10443"/>
    <x v="442"/>
    <d v="2025-11-11T00:00:00"/>
    <s v="Customer 087"/>
    <x v="1"/>
    <x v="2"/>
    <s v="Tasmania"/>
    <x v="1"/>
    <x v="4"/>
    <s v="Product Binders 11"/>
    <n v="7"/>
    <n v="512"/>
    <n v="0.15"/>
    <n v="3046.4"/>
    <n v="600.14"/>
    <s v="First Class"/>
    <s v="Mia Taylor"/>
  </r>
  <r>
    <s v="ORD-10444"/>
    <x v="443"/>
    <d v="2025-11-08T00:00:00"/>
    <s v="Customer 014"/>
    <x v="2"/>
    <x v="3"/>
    <s v="Western Australia"/>
    <x v="2"/>
    <x v="5"/>
    <s v="Product Copiers 12"/>
    <n v="2"/>
    <n v="559"/>
    <n v="0.2"/>
    <n v="894.4"/>
    <n v="112.69"/>
    <s v="Same Day"/>
    <s v="Liam Wilson"/>
  </r>
  <r>
    <s v="ORD-10445"/>
    <x v="444"/>
    <d v="2025-11-12T00:00:00"/>
    <s v="Customer 037"/>
    <x v="0"/>
    <x v="0"/>
    <s v="Victoria"/>
    <x v="0"/>
    <x v="3"/>
    <s v="Product Chairs 1"/>
    <n v="5"/>
    <n v="606"/>
    <n v="0"/>
    <n v="3030"/>
    <n v="545.4"/>
    <s v="Standard Class"/>
    <s v="Ava Williams"/>
  </r>
  <r>
    <s v="ORD-10446"/>
    <x v="445"/>
    <d v="2025-11-17T00:00:00"/>
    <s v="Customer 060"/>
    <x v="1"/>
    <x v="1"/>
    <s v="Queensland"/>
    <x v="1"/>
    <x v="4"/>
    <s v="Product Binders 2"/>
    <n v="8"/>
    <n v="653"/>
    <n v="0"/>
    <n v="5224"/>
    <n v="1514.96"/>
    <s v="Second Class"/>
    <s v="Noah Brown"/>
  </r>
  <r>
    <s v="ORD-10447"/>
    <x v="446"/>
    <d v="2025-11-13T00:00:00"/>
    <s v="Customer 083"/>
    <x v="2"/>
    <x v="2"/>
    <s v="New South Wales"/>
    <x v="2"/>
    <x v="5"/>
    <s v="Product Copiers 3"/>
    <n v="3"/>
    <n v="700"/>
    <n v="0.05"/>
    <n v="1995"/>
    <n v="436.91"/>
    <s v="First Class"/>
    <s v="Mia Taylor"/>
  </r>
  <r>
    <s v="ORD-10448"/>
    <x v="447"/>
    <d v="2025-11-18T00:00:00"/>
    <s v="Customer 010"/>
    <x v="0"/>
    <x v="3"/>
    <s v="Australian Capital Territory"/>
    <x v="0"/>
    <x v="3"/>
    <s v="Product Chairs 4"/>
    <n v="6"/>
    <n v="747"/>
    <n v="0.1"/>
    <n v="4033.8"/>
    <n v="475.99"/>
    <s v="Same Day"/>
    <s v="Liam Wilson"/>
  </r>
  <r>
    <s v="ORD-10449"/>
    <x v="448"/>
    <d v="2025-11-14T00:00:00"/>
    <s v="Customer 033"/>
    <x v="1"/>
    <x v="0"/>
    <s v="South Australia"/>
    <x v="1"/>
    <x v="4"/>
    <s v="Product Binders 5"/>
    <n v="1"/>
    <n v="794"/>
    <n v="0.15"/>
    <n v="674.9"/>
    <n v="132.96"/>
    <s v="Standard Class"/>
    <s v="Ava Williams"/>
  </r>
  <r>
    <s v="ORD-10450"/>
    <x v="449"/>
    <d v="2025-11-19T00:00:00"/>
    <s v="Customer 056"/>
    <x v="2"/>
    <x v="1"/>
    <s v="Northern Territory"/>
    <x v="2"/>
    <x v="5"/>
    <s v="Product Copiers 6"/>
    <n v="4"/>
    <n v="61"/>
    <n v="0.2"/>
    <n v="195.2"/>
    <n v="24.6"/>
    <s v="Second Class"/>
    <s v="Noah Brown"/>
  </r>
  <r>
    <s v="ORD-10451"/>
    <x v="450"/>
    <d v="2025-11-23T00:00:00"/>
    <s v="Customer 079"/>
    <x v="0"/>
    <x v="2"/>
    <s v="Tasmania"/>
    <x v="0"/>
    <x v="6"/>
    <s v="Product Tables 7"/>
    <n v="7"/>
    <n v="108"/>
    <n v="0"/>
    <n v="756"/>
    <n v="136.08000000000001"/>
    <s v="First Class"/>
    <s v="Mia Taylor"/>
  </r>
  <r>
    <s v="ORD-10452"/>
    <x v="451"/>
    <d v="2025-11-20T00:00:00"/>
    <s v="Customer 006"/>
    <x v="1"/>
    <x v="3"/>
    <s v="Western Australia"/>
    <x v="1"/>
    <x v="7"/>
    <s v="Product Paper 8"/>
    <n v="2"/>
    <n v="155"/>
    <n v="0"/>
    <n v="310"/>
    <n v="89.9"/>
    <s v="Same Day"/>
    <s v="Liam Wilson"/>
  </r>
  <r>
    <s v="ORD-10453"/>
    <x v="452"/>
    <d v="2025-11-24T00:00:00"/>
    <s v="Customer 029"/>
    <x v="2"/>
    <x v="0"/>
    <s v="Victoria"/>
    <x v="2"/>
    <x v="8"/>
    <s v="Product Accessories 9"/>
    <n v="5"/>
    <n v="202"/>
    <n v="0.05"/>
    <n v="959.5"/>
    <n v="210.13"/>
    <s v="Standard Class"/>
    <s v="Ava Williams"/>
  </r>
  <r>
    <s v="ORD-10454"/>
    <x v="453"/>
    <d v="2025-11-29T00:00:00"/>
    <s v="Customer 052"/>
    <x v="0"/>
    <x v="1"/>
    <s v="Queensland"/>
    <x v="0"/>
    <x v="6"/>
    <s v="Product Tables 10"/>
    <n v="8"/>
    <n v="249"/>
    <n v="0.1"/>
    <n v="1792.8"/>
    <n v="211.55"/>
    <s v="Second Class"/>
    <s v="Noah Brown"/>
  </r>
  <r>
    <s v="ORD-10455"/>
    <x v="454"/>
    <d v="2025-11-26T00:00:00"/>
    <s v="Customer 075"/>
    <x v="1"/>
    <x v="2"/>
    <s v="New South Wales"/>
    <x v="1"/>
    <x v="7"/>
    <s v="Product Paper 11"/>
    <n v="3"/>
    <n v="296"/>
    <n v="0.15"/>
    <n v="754.8"/>
    <n v="148.69999999999999"/>
    <s v="First Class"/>
    <s v="Mia Taylor"/>
  </r>
  <r>
    <s v="ORD-10456"/>
    <x v="455"/>
    <d v="2025-11-30T00:00:00"/>
    <s v="Customer 002"/>
    <x v="2"/>
    <x v="3"/>
    <s v="Australian Capital Territory"/>
    <x v="2"/>
    <x v="8"/>
    <s v="Product Accessories 12"/>
    <n v="6"/>
    <n v="343"/>
    <n v="0.2"/>
    <n v="1646.4"/>
    <n v="207.45"/>
    <s v="Same Day"/>
    <s v="Liam Wilson"/>
  </r>
  <r>
    <s v="ORD-10457"/>
    <x v="456"/>
    <d v="2025-11-27T00:00:00"/>
    <s v="Customer 025"/>
    <x v="0"/>
    <x v="0"/>
    <s v="South Australia"/>
    <x v="0"/>
    <x v="6"/>
    <s v="Product Tables 1"/>
    <n v="1"/>
    <n v="390"/>
    <n v="0"/>
    <n v="390"/>
    <n v="-39"/>
    <s v="Standard Class"/>
    <s v="Ava Williams"/>
  </r>
  <r>
    <s v="ORD-10458"/>
    <x v="457"/>
    <d v="2025-12-01T00:00:00"/>
    <s v="Customer 048"/>
    <x v="1"/>
    <x v="1"/>
    <s v="Northern Territory"/>
    <x v="1"/>
    <x v="7"/>
    <s v="Product Paper 2"/>
    <n v="4"/>
    <n v="437"/>
    <n v="0"/>
    <n v="1748"/>
    <n v="506.92"/>
    <s v="Second Class"/>
    <s v="Noah Brown"/>
  </r>
  <r>
    <s v="ORD-10459"/>
    <x v="458"/>
    <d v="2025-12-06T00:00:00"/>
    <s v="Customer 071"/>
    <x v="2"/>
    <x v="2"/>
    <s v="Tasmania"/>
    <x v="2"/>
    <x v="8"/>
    <s v="Product Accessories 3"/>
    <n v="7"/>
    <n v="484"/>
    <n v="0.05"/>
    <n v="3218.6"/>
    <n v="704.87"/>
    <s v="First Class"/>
    <s v="Mia Taylor"/>
  </r>
  <r>
    <s v="ORD-10460"/>
    <x v="459"/>
    <d v="2025-12-02T00:00:00"/>
    <s v="Customer 094"/>
    <x v="0"/>
    <x v="3"/>
    <s v="Western Australia"/>
    <x v="0"/>
    <x v="0"/>
    <s v="Product Bookcases 4"/>
    <n v="2"/>
    <n v="531"/>
    <n v="0.1"/>
    <n v="955.8"/>
    <n v="112.78"/>
    <s v="Same Day"/>
    <s v="Liam Wilson"/>
  </r>
  <r>
    <s v="ORD-10461"/>
    <x v="460"/>
    <d v="2025-12-07T00:00:00"/>
    <s v="Customer 021"/>
    <x v="1"/>
    <x v="0"/>
    <s v="Victoria"/>
    <x v="1"/>
    <x v="1"/>
    <s v="Product Storage 5"/>
    <n v="5"/>
    <n v="578"/>
    <n v="0.15"/>
    <n v="2456.5"/>
    <n v="483.93"/>
    <s v="Standard Class"/>
    <s v="Ava Williams"/>
  </r>
  <r>
    <s v="ORD-10462"/>
    <x v="461"/>
    <d v="2025-12-11T00:00:00"/>
    <s v="Customer 044"/>
    <x v="2"/>
    <x v="1"/>
    <s v="Queensland"/>
    <x v="2"/>
    <x v="2"/>
    <s v="Product Phones 6"/>
    <n v="8"/>
    <n v="625"/>
    <n v="0.2"/>
    <n v="4000"/>
    <n v="504"/>
    <s v="Second Class"/>
    <s v="Noah Brown"/>
  </r>
  <r>
    <s v="ORD-10463"/>
    <x v="462"/>
    <d v="2025-12-08T00:00:00"/>
    <s v="Customer 067"/>
    <x v="0"/>
    <x v="2"/>
    <s v="New South Wales"/>
    <x v="0"/>
    <x v="0"/>
    <s v="Product Bookcases 7"/>
    <n v="3"/>
    <n v="672"/>
    <n v="0"/>
    <n v="2016"/>
    <n v="362.88"/>
    <s v="First Class"/>
    <s v="Mia Taylor"/>
  </r>
  <r>
    <s v="ORD-10464"/>
    <x v="463"/>
    <d v="2025-12-12T00:00:00"/>
    <s v="Customer 090"/>
    <x v="1"/>
    <x v="3"/>
    <s v="Australian Capital Territory"/>
    <x v="1"/>
    <x v="1"/>
    <s v="Product Storage 8"/>
    <n v="6"/>
    <n v="719"/>
    <n v="0"/>
    <n v="4314"/>
    <n v="1251.06"/>
    <s v="Same Day"/>
    <s v="Liam Wilson"/>
  </r>
  <r>
    <s v="ORD-10465"/>
    <x v="464"/>
    <d v="2025-12-09T00:00:00"/>
    <s v="Customer 017"/>
    <x v="2"/>
    <x v="0"/>
    <s v="South Australia"/>
    <x v="2"/>
    <x v="2"/>
    <s v="Product Phones 9"/>
    <n v="1"/>
    <n v="766"/>
    <n v="0.05"/>
    <n v="727.7"/>
    <n v="159.37"/>
    <s v="Standard Class"/>
    <s v="Ava Williams"/>
  </r>
  <r>
    <s v="ORD-10466"/>
    <x v="465"/>
    <d v="2025-12-13T00:00:00"/>
    <s v="Customer 040"/>
    <x v="0"/>
    <x v="1"/>
    <s v="Northern Territory"/>
    <x v="0"/>
    <x v="0"/>
    <s v="Product Bookcases 10"/>
    <n v="4"/>
    <n v="33"/>
    <n v="0.1"/>
    <n v="118.8"/>
    <n v="14.02"/>
    <s v="Second Class"/>
    <s v="Noah Brown"/>
  </r>
  <r>
    <s v="ORD-10467"/>
    <x v="466"/>
    <d v="2025-12-18T00:00:00"/>
    <s v="Customer 063"/>
    <x v="1"/>
    <x v="2"/>
    <s v="Tasmania"/>
    <x v="1"/>
    <x v="1"/>
    <s v="Product Storage 11"/>
    <n v="7"/>
    <n v="80"/>
    <n v="0.15"/>
    <n v="476"/>
    <n v="93.77"/>
    <s v="First Class"/>
    <s v="Mia Taylor"/>
  </r>
  <r>
    <s v="ORD-10468"/>
    <x v="467"/>
    <d v="2025-12-14T00:00:00"/>
    <s v="Customer 086"/>
    <x v="2"/>
    <x v="3"/>
    <s v="Western Australia"/>
    <x v="2"/>
    <x v="2"/>
    <s v="Product Phones 12"/>
    <n v="2"/>
    <n v="127"/>
    <n v="0.2"/>
    <n v="203.2"/>
    <n v="25.6"/>
    <s v="Same Day"/>
    <s v="Liam Wilson"/>
  </r>
  <r>
    <s v="ORD-10469"/>
    <x v="468"/>
    <d v="2025-12-19T00:00:00"/>
    <s v="Customer 013"/>
    <x v="0"/>
    <x v="0"/>
    <s v="Victoria"/>
    <x v="0"/>
    <x v="3"/>
    <s v="Product Chairs 1"/>
    <n v="5"/>
    <n v="174"/>
    <n v="0"/>
    <n v="870"/>
    <n v="156.6"/>
    <s v="Standard Class"/>
    <s v="Ava Williams"/>
  </r>
  <r>
    <s v="ORD-10470"/>
    <x v="469"/>
    <d v="2025-12-23T00:00:00"/>
    <s v="Customer 036"/>
    <x v="1"/>
    <x v="1"/>
    <s v="Queensland"/>
    <x v="1"/>
    <x v="4"/>
    <s v="Product Binders 2"/>
    <n v="8"/>
    <n v="221"/>
    <n v="0"/>
    <n v="1768"/>
    <n v="512.72"/>
    <s v="Second Class"/>
    <s v="Noah Brown"/>
  </r>
  <r>
    <s v="ORD-10471"/>
    <x v="470"/>
    <d v="2025-12-20T00:00:00"/>
    <s v="Customer 059"/>
    <x v="2"/>
    <x v="2"/>
    <s v="New South Wales"/>
    <x v="2"/>
    <x v="5"/>
    <s v="Product Copiers 3"/>
    <n v="3"/>
    <n v="268"/>
    <n v="0.05"/>
    <n v="763.8"/>
    <n v="167.27"/>
    <s v="First Class"/>
    <s v="Mia Taylor"/>
  </r>
  <r>
    <s v="ORD-10472"/>
    <x v="471"/>
    <d v="2025-12-24T00:00:00"/>
    <s v="Customer 082"/>
    <x v="0"/>
    <x v="3"/>
    <s v="Australian Capital Territory"/>
    <x v="0"/>
    <x v="3"/>
    <s v="Product Chairs 4"/>
    <n v="6"/>
    <n v="315"/>
    <n v="0.1"/>
    <n v="1701"/>
    <n v="200.72"/>
    <s v="Same Day"/>
    <s v="Liam Wilson"/>
  </r>
  <r>
    <s v="ORD-10473"/>
    <x v="472"/>
    <d v="2025-12-21T00:00:00"/>
    <s v="Customer 009"/>
    <x v="1"/>
    <x v="0"/>
    <s v="South Australia"/>
    <x v="1"/>
    <x v="4"/>
    <s v="Product Binders 5"/>
    <n v="1"/>
    <n v="362"/>
    <n v="0.15"/>
    <n v="307.7"/>
    <n v="60.62"/>
    <s v="Standard Class"/>
    <s v="Ava Williams"/>
  </r>
  <r>
    <s v="ORD-10474"/>
    <x v="473"/>
    <d v="2025-12-25T00:00:00"/>
    <s v="Customer 032"/>
    <x v="2"/>
    <x v="1"/>
    <s v="Northern Territory"/>
    <x v="2"/>
    <x v="5"/>
    <s v="Product Copiers 6"/>
    <n v="4"/>
    <n v="409"/>
    <n v="0.2"/>
    <n v="1308.8"/>
    <n v="164.91"/>
    <s v="Second Class"/>
    <s v="Noah Brown"/>
  </r>
  <r>
    <s v="ORD-10475"/>
    <x v="474"/>
    <d v="2025-12-30T00:00:00"/>
    <s v="Customer 055"/>
    <x v="0"/>
    <x v="2"/>
    <s v="Tasmania"/>
    <x v="0"/>
    <x v="3"/>
    <s v="Product Chairs 7"/>
    <n v="7"/>
    <n v="456"/>
    <n v="0"/>
    <n v="3192"/>
    <n v="574.55999999999995"/>
    <s v="First Class"/>
    <s v="Mia Taylor"/>
  </r>
  <r>
    <s v="ORD-10476"/>
    <x v="475"/>
    <d v="2025-12-26T00:00:00"/>
    <s v="Customer 078"/>
    <x v="1"/>
    <x v="3"/>
    <s v="Western Australia"/>
    <x v="1"/>
    <x v="4"/>
    <s v="Product Binders 8"/>
    <n v="2"/>
    <n v="503"/>
    <n v="0"/>
    <n v="1006"/>
    <n v="10.06"/>
    <s v="Same Day"/>
    <s v="Liam Wilson"/>
  </r>
  <r>
    <s v="ORD-10477"/>
    <x v="476"/>
    <d v="2025-12-31T00:00:00"/>
    <s v="Customer 005"/>
    <x v="2"/>
    <x v="0"/>
    <s v="Victoria"/>
    <x v="2"/>
    <x v="5"/>
    <s v="Product Copiers 9"/>
    <n v="5"/>
    <n v="550"/>
    <n v="0.05"/>
    <n v="2612.5"/>
    <n v="572.14"/>
    <s v="Standard Class"/>
    <s v="Ava Williams"/>
  </r>
  <r>
    <s v="ORD-10478"/>
    <x v="477"/>
    <d v="2026-01-04T00:00:00"/>
    <s v="Customer 028"/>
    <x v="0"/>
    <x v="1"/>
    <s v="Queensland"/>
    <x v="0"/>
    <x v="6"/>
    <s v="Product Tables 10"/>
    <n v="8"/>
    <n v="597"/>
    <n v="0.1"/>
    <n v="4298.3999999999996"/>
    <n v="507.21"/>
    <s v="Second Class"/>
    <s v="Noah Brown"/>
  </r>
  <r>
    <s v="ORD-10479"/>
    <x v="478"/>
    <d v="2026-01-01T00:00:00"/>
    <s v="Customer 051"/>
    <x v="1"/>
    <x v="2"/>
    <s v="New South Wales"/>
    <x v="1"/>
    <x v="7"/>
    <s v="Product Paper 11"/>
    <n v="3"/>
    <n v="644"/>
    <n v="0.15"/>
    <n v="1642.2"/>
    <n v="323.51"/>
    <s v="First Class"/>
    <s v="Mia Taylor"/>
  </r>
  <r>
    <s v="ORD-10480"/>
    <x v="479"/>
    <d v="2026-01-06T00:00:00"/>
    <s v="Customer 074"/>
    <x v="2"/>
    <x v="3"/>
    <s v="Australian Capital Territory"/>
    <x v="2"/>
    <x v="8"/>
    <s v="Product Accessories 12"/>
    <n v="6"/>
    <n v="691"/>
    <n v="0.2"/>
    <n v="3316.8"/>
    <n v="417.92"/>
    <s v="Same Day"/>
    <s v="Liam Wilso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D243F1-2401-4854-A3A9-3A40FDFF34A6}" name="PivotTable4" cacheId="1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M3:N30" firstHeaderRow="1" firstDataRow="1" firstDataCol="1"/>
  <pivotFields count="18">
    <pivotField showAll="0"/>
    <pivotField axis="axisRow" numFmtId="14" showAll="0">
      <items count="15">
        <item x="0"/>
        <item x="1"/>
        <item x="2"/>
        <item x="3"/>
        <item x="4"/>
        <item x="5"/>
        <item x="6"/>
        <item x="7"/>
        <item x="8"/>
        <item x="9"/>
        <item x="10"/>
        <item x="11"/>
        <item x="12"/>
        <item x="13"/>
        <item t="default"/>
      </items>
    </pivotField>
    <pivotField numFmtId="14" showAll="0"/>
    <pivotField showAll="0"/>
    <pivotField showAll="0">
      <items count="4">
        <item x="0"/>
        <item x="1"/>
        <item x="2"/>
        <item t="default"/>
      </items>
    </pivotField>
    <pivotField showAll="0">
      <items count="5">
        <item x="0"/>
        <item x="1"/>
        <item x="2"/>
        <item x="3"/>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 showAll="0"/>
    <pivotField showAll="0"/>
    <pivotField showAll="0"/>
    <pivotField axis="axisRow" showAll="0">
      <items count="6">
        <item x="0"/>
        <item x="1"/>
        <item x="2"/>
        <item x="3"/>
        <item x="4"/>
        <item t="default"/>
      </items>
    </pivotField>
  </pivotFields>
  <rowFields count="2">
    <field x="17"/>
    <field x="1"/>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Items count="1">
    <i/>
  </colItems>
  <dataFields count="1">
    <dataField name="Sum of Sales" fld="13" baseField="0" baseItem="0" numFmtId="165"/>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F43DB1C-751D-409E-9BE5-8DA9E5572567}" name="PivotTable5" cacheId="1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Q3:R13" firstHeaderRow="1" firstDataRow="1" firstDataCol="1"/>
  <pivotFields count="18">
    <pivotField showAll="0"/>
    <pivotField numFmtId="14" showAll="0"/>
    <pivotField numFmtId="14" showAll="0"/>
    <pivotField showAll="0"/>
    <pivotField showAll="0">
      <items count="4">
        <item x="0"/>
        <item x="1"/>
        <item x="2"/>
        <item t="default"/>
      </items>
    </pivotField>
    <pivotField showAll="0">
      <items count="5">
        <item x="0"/>
        <item x="1"/>
        <item x="2"/>
        <item x="3"/>
        <item t="default"/>
      </items>
    </pivotField>
    <pivotField showAll="0"/>
    <pivotField showAll="0">
      <items count="4">
        <item x="0"/>
        <item x="1"/>
        <item x="2"/>
        <item t="default"/>
      </items>
    </pivotField>
    <pivotField axis="axisRow" showAll="0" sortType="ascending">
      <items count="10">
        <item x="8"/>
        <item x="4"/>
        <item x="0"/>
        <item x="3"/>
        <item x="5"/>
        <item x="7"/>
        <item x="2"/>
        <item x="1"/>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 showAll="0" defaultSubtotal="0"/>
  </pivotFields>
  <rowFields count="1">
    <field x="8"/>
  </rowFields>
  <rowItems count="10">
    <i>
      <x v="2"/>
    </i>
    <i>
      <x v="8"/>
    </i>
    <i>
      <x v="6"/>
    </i>
    <i>
      <x/>
    </i>
    <i>
      <x v="3"/>
    </i>
    <i>
      <x v="4"/>
    </i>
    <i>
      <x v="5"/>
    </i>
    <i>
      <x v="7"/>
    </i>
    <i>
      <x v="1"/>
    </i>
    <i t="grand">
      <x/>
    </i>
  </rowItems>
  <colItems count="1">
    <i/>
  </colItems>
  <dataFields count="1">
    <dataField name="Sum of Profit" fld="14" baseField="0" baseItem="0" numFmtId="165"/>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B46920-F005-4C7F-8F20-ACFD77993BD2}" name="PivotTable3" cacheId="1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I3:J7" firstHeaderRow="1" firstDataRow="1" firstDataCol="1"/>
  <pivotFields count="18">
    <pivotField showAll="0"/>
    <pivotField numFmtId="14" showAll="0">
      <items count="15">
        <item x="0"/>
        <item x="1"/>
        <item x="2"/>
        <item x="3"/>
        <item x="4"/>
        <item x="5"/>
        <item x="6"/>
        <item x="7"/>
        <item x="8"/>
        <item x="9"/>
        <item x="10"/>
        <item x="11"/>
        <item x="12"/>
        <item x="13"/>
        <item t="default"/>
      </items>
    </pivotField>
    <pivotField numFmtId="14"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items count="5">
        <item x="0"/>
        <item x="1"/>
        <item x="2"/>
        <item x="3"/>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 showAll="0"/>
    <pivotField showAll="0"/>
    <pivotField showAll="0"/>
    <pivotField showAll="0">
      <items count="6">
        <item x="0"/>
        <item x="1"/>
        <item x="2"/>
        <item x="3"/>
        <item x="4"/>
        <item t="default"/>
      </items>
    </pivotField>
  </pivotFields>
  <rowFields count="1">
    <field x="4"/>
  </rowFields>
  <rowItems count="4">
    <i>
      <x/>
    </i>
    <i>
      <x v="1"/>
    </i>
    <i>
      <x v="2"/>
    </i>
    <i t="grand">
      <x/>
    </i>
  </rowItems>
  <colItems count="1">
    <i/>
  </colItems>
  <dataFields count="1">
    <dataField name="Sum of Sales" fld="13" baseField="0" baseItem="0" numFmtId="165"/>
  </dataFields>
  <chartFormats count="5">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4" count="1" selected="0">
            <x v="0"/>
          </reference>
        </references>
      </pivotArea>
    </chartFormat>
    <chartFormat chart="2" format="7">
      <pivotArea type="data" outline="0" fieldPosition="0">
        <references count="2">
          <reference field="4294967294" count="1" selected="0">
            <x v="0"/>
          </reference>
          <reference field="4" count="1" selected="0">
            <x v="1"/>
          </reference>
        </references>
      </pivotArea>
    </chartFormat>
    <chartFormat chart="2"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44DA8DC-394A-4C5D-A78E-8E0EBDEA054C}" name="PivotTable2" cacheId="1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E3:F7" firstHeaderRow="1" firstDataRow="1" firstDataCol="1"/>
  <pivotFields count="18">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items count="4">
        <item x="0"/>
        <item x="1"/>
        <item x="2"/>
        <item t="default"/>
      </items>
    </pivotField>
    <pivotField showAll="0">
      <items count="5">
        <item x="0"/>
        <item x="1"/>
        <item x="2"/>
        <item x="3"/>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items count="6">
        <item x="0"/>
        <item x="1"/>
        <item x="2"/>
        <item x="3"/>
        <item x="4"/>
        <item t="default"/>
      </items>
    </pivotField>
  </pivotFields>
  <rowFields count="1">
    <field x="7"/>
  </rowFields>
  <rowItems count="4">
    <i>
      <x v="1"/>
    </i>
    <i>
      <x v="2"/>
    </i>
    <i>
      <x/>
    </i>
    <i t="grand">
      <x/>
    </i>
  </rowItems>
  <colItems count="1">
    <i/>
  </colItems>
  <dataFields count="1">
    <dataField name="Sum of Profit" fld="14" baseField="0" baseItem="0" numFmtId="165"/>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451ECEF-0AFF-4A30-8A54-83743DEB238C}" name="PivotTable1" cacheId="1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8" firstHeaderRow="1" firstDataRow="1" firstDataCol="1"/>
  <pivotFields count="18">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items count="4">
        <item x="0"/>
        <item x="1"/>
        <item x="2"/>
        <item t="default"/>
      </items>
    </pivotField>
    <pivotField axis="axisRow" showAll="0" sortType="descending">
      <items count="5">
        <item x="0"/>
        <item x="1"/>
        <item x="2"/>
        <item x="3"/>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pivotField showAll="0"/>
    <pivotField showAll="0"/>
    <pivotField showAll="0"/>
    <pivotField showAll="0"/>
    <pivotField dataField="1" showAll="0"/>
    <pivotField showAll="0"/>
    <pivotField showAll="0"/>
    <pivotField showAll="0"/>
    <pivotField showAll="0">
      <items count="6">
        <item x="0"/>
        <item x="1"/>
        <item x="2"/>
        <item x="3"/>
        <item x="4"/>
        <item t="default"/>
      </items>
    </pivotField>
  </pivotFields>
  <rowFields count="1">
    <field x="5"/>
  </rowFields>
  <rowItems count="5">
    <i>
      <x v="1"/>
    </i>
    <i>
      <x v="2"/>
    </i>
    <i>
      <x v="3"/>
    </i>
    <i>
      <x/>
    </i>
    <i t="grand">
      <x/>
    </i>
  </rowItems>
  <colItems count="1">
    <i/>
  </colItems>
  <dataFields count="1">
    <dataField name="Sum of Sales" fld="13" baseField="0" baseItem="0" numFmtId="165"/>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1A32189F-2D0A-4E7C-9A06-D10F3D526CE3}" sourceName="Segment">
  <pivotTables>
    <pivotTable tabId="3" name="PivotTable1"/>
    <pivotTable tabId="3" name="PivotTable2"/>
    <pivotTable tabId="3" name="PivotTable3"/>
    <pivotTable tabId="3" name="PivotTable4"/>
    <pivotTable tabId="3" name="PivotTable5"/>
  </pivotTables>
  <data>
    <tabular pivotCacheId="1129857850">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AD9A870-7019-4971-B027-83797CF9EF35}" sourceName="Region">
  <pivotTables>
    <pivotTable tabId="3" name="PivotTable1"/>
    <pivotTable tabId="3" name="PivotTable2"/>
    <pivotTable tabId="3" name="PivotTable3"/>
    <pivotTable tabId="3" name="PivotTable4"/>
    <pivotTable tabId="3" name="PivotTable5"/>
  </pivotTables>
  <data>
    <tabular pivotCacheId="1129857850">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B60FD41-D775-44E6-9F87-CCE97B08FE7B}" sourceName="Category">
  <pivotTables>
    <pivotTable tabId="3" name="PivotTable1"/>
    <pivotTable tabId="3" name="PivotTable2"/>
    <pivotTable tabId="3" name="PivotTable3"/>
    <pivotTable tabId="3" name="PivotTable4"/>
    <pivotTable tabId="3" name="PivotTable5"/>
  </pivotTables>
  <data>
    <tabular pivotCacheId="1129857850">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C8B326E2-F6DB-429E-9DED-694D2BC7C274}" cache="Slicer_Segment" caption="Segment" rowHeight="241300"/>
  <slicer name="Region" xr10:uid="{24058D55-B76C-41F3-97C3-A0C39831F578}" cache="Slicer_Region" caption="Region" rowHeight="241300"/>
  <slicer name="Category" xr10:uid="{4B6BF3D3-DACB-418E-9AB0-4A31BC96343D}" cache="Slicer_Category" caption="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uperstoreTable" displayName="SuperstoreTable" ref="A1:Q481" totalsRowShown="0">
  <autoFilter ref="A1:Q481" xr:uid="{00000000-0009-0000-0100-000001000000}"/>
  <tableColumns count="17">
    <tableColumn id="1" xr3:uid="{00000000-0010-0000-0000-000001000000}" name="Order ID"/>
    <tableColumn id="2" xr3:uid="{00000000-0010-0000-0000-000002000000}" name="Order Date" dataDxfId="1"/>
    <tableColumn id="3" xr3:uid="{00000000-0010-0000-0000-000003000000}" name="Ship Date" dataDxfId="0"/>
    <tableColumn id="4" xr3:uid="{00000000-0010-0000-0000-000004000000}" name="Customer Name"/>
    <tableColumn id="5" xr3:uid="{00000000-0010-0000-0000-000005000000}" name="Segment"/>
    <tableColumn id="6" xr3:uid="{00000000-0010-0000-0000-000006000000}" name="Region"/>
    <tableColumn id="7" xr3:uid="{00000000-0010-0000-0000-000007000000}" name="State"/>
    <tableColumn id="8" xr3:uid="{00000000-0010-0000-0000-000008000000}" name="Category"/>
    <tableColumn id="9" xr3:uid="{00000000-0010-0000-0000-000009000000}" name="Sub-Category"/>
    <tableColumn id="10" xr3:uid="{00000000-0010-0000-0000-00000A000000}" name="Product Name"/>
    <tableColumn id="11" xr3:uid="{00000000-0010-0000-0000-00000B000000}" name="Quantity"/>
    <tableColumn id="12" xr3:uid="{00000000-0010-0000-0000-00000C000000}" name="Unit Price"/>
    <tableColumn id="13" xr3:uid="{00000000-0010-0000-0000-00000D000000}" name="Discount"/>
    <tableColumn id="14" xr3:uid="{00000000-0010-0000-0000-00000E000000}" name="Sales"/>
    <tableColumn id="15" xr3:uid="{00000000-0010-0000-0000-00000F000000}" name="Profit"/>
    <tableColumn id="16" xr3:uid="{00000000-0010-0000-0000-000010000000}" name="Ship Mode"/>
    <tableColumn id="17" xr3:uid="{00000000-0010-0000-0000-000011000000}" name="Regional Manag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2.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481"/>
  <sheetViews>
    <sheetView tabSelected="1" topLeftCell="A2" workbookViewId="0">
      <selection activeCell="O17" sqref="O17"/>
    </sheetView>
  </sheetViews>
  <sheetFormatPr defaultRowHeight="14.5" x14ac:dyDescent="0.35"/>
  <cols>
    <col min="1" max="1" width="10" customWidth="1"/>
    <col min="2" max="2" width="12.1796875" customWidth="1"/>
    <col min="3" max="3" width="10.90625" customWidth="1"/>
    <col min="4" max="4" width="16.54296875" customWidth="1"/>
    <col min="5" max="5" width="10.36328125" customWidth="1"/>
    <col min="8" max="8" width="10.36328125" customWidth="1"/>
    <col min="9" max="9" width="14.1796875" customWidth="1"/>
    <col min="10" max="10" width="14.90625" customWidth="1"/>
    <col min="11" max="11" width="10.26953125" customWidth="1"/>
    <col min="12" max="12" width="11.1796875" customWidth="1"/>
    <col min="13" max="13" width="10.26953125" customWidth="1"/>
    <col min="16" max="16" width="12" customWidth="1"/>
    <col min="17" max="17" width="18.1796875" customWidth="1"/>
  </cols>
  <sheetData>
    <row r="1" spans="1:17" x14ac:dyDescent="0.35">
      <c r="A1" s="1" t="s">
        <v>0</v>
      </c>
      <c r="B1" s="1" t="s">
        <v>1</v>
      </c>
      <c r="C1" s="1" t="s">
        <v>2</v>
      </c>
      <c r="D1" s="2" t="s">
        <v>3</v>
      </c>
      <c r="E1" t="s">
        <v>4</v>
      </c>
      <c r="F1" s="4" t="s">
        <v>5</v>
      </c>
      <c r="G1" t="s">
        <v>6</v>
      </c>
      <c r="H1" t="s">
        <v>7</v>
      </c>
      <c r="I1" t="s">
        <v>8</v>
      </c>
      <c r="J1" t="s">
        <v>9</v>
      </c>
      <c r="K1" t="s">
        <v>10</v>
      </c>
      <c r="L1" t="s">
        <v>11</v>
      </c>
      <c r="M1" t="s">
        <v>12</v>
      </c>
      <c r="N1" s="3" t="s">
        <v>13</v>
      </c>
      <c r="O1" s="3" t="s">
        <v>14</v>
      </c>
      <c r="P1" t="s">
        <v>15</v>
      </c>
      <c r="Q1" s="4" t="s">
        <v>16</v>
      </c>
    </row>
    <row r="2" spans="1:17" x14ac:dyDescent="0.35">
      <c r="A2" t="s">
        <v>17</v>
      </c>
      <c r="B2" s="1">
        <v>45294</v>
      </c>
      <c r="C2" s="1">
        <v>45295</v>
      </c>
      <c r="D2" t="s">
        <v>18</v>
      </c>
      <c r="E2" t="s">
        <v>19</v>
      </c>
      <c r="F2" t="s">
        <v>20</v>
      </c>
      <c r="G2" t="s">
        <v>21</v>
      </c>
      <c r="H2" t="s">
        <v>22</v>
      </c>
      <c r="I2" t="s">
        <v>23</v>
      </c>
      <c r="J2" t="s">
        <v>24</v>
      </c>
      <c r="K2">
        <v>1</v>
      </c>
      <c r="L2">
        <v>18</v>
      </c>
      <c r="M2">
        <v>0</v>
      </c>
      <c r="N2">
        <v>18</v>
      </c>
      <c r="O2">
        <v>-1.8</v>
      </c>
      <c r="P2" t="s">
        <v>25</v>
      </c>
      <c r="Q2" t="s">
        <v>26</v>
      </c>
    </row>
    <row r="3" spans="1:17" x14ac:dyDescent="0.35">
      <c r="A3" t="s">
        <v>27</v>
      </c>
      <c r="B3" s="1">
        <v>45295</v>
      </c>
      <c r="C3" s="1">
        <v>45299</v>
      </c>
      <c r="D3" t="s">
        <v>28</v>
      </c>
      <c r="E3" t="s">
        <v>29</v>
      </c>
      <c r="F3" t="s">
        <v>30</v>
      </c>
      <c r="G3" t="s">
        <v>31</v>
      </c>
      <c r="H3" t="s">
        <v>32</v>
      </c>
      <c r="I3" t="s">
        <v>33</v>
      </c>
      <c r="J3" t="s">
        <v>34</v>
      </c>
      <c r="K3">
        <v>4</v>
      </c>
      <c r="L3">
        <v>65</v>
      </c>
      <c r="M3">
        <v>0</v>
      </c>
      <c r="N3">
        <v>260</v>
      </c>
      <c r="O3">
        <v>75.400000000000006</v>
      </c>
      <c r="P3" t="s">
        <v>35</v>
      </c>
      <c r="Q3" t="s">
        <v>36</v>
      </c>
    </row>
    <row r="4" spans="1:17" x14ac:dyDescent="0.35">
      <c r="A4" t="s">
        <v>37</v>
      </c>
      <c r="B4" s="1">
        <v>45297</v>
      </c>
      <c r="C4" s="1">
        <v>45304</v>
      </c>
      <c r="D4" t="s">
        <v>38</v>
      </c>
      <c r="E4" t="s">
        <v>39</v>
      </c>
      <c r="F4" t="s">
        <v>40</v>
      </c>
      <c r="G4" t="s">
        <v>41</v>
      </c>
      <c r="H4" t="s">
        <v>42</v>
      </c>
      <c r="I4" t="s">
        <v>43</v>
      </c>
      <c r="J4" t="s">
        <v>44</v>
      </c>
      <c r="K4">
        <v>7</v>
      </c>
      <c r="L4">
        <v>112</v>
      </c>
      <c r="M4">
        <v>0.05</v>
      </c>
      <c r="N4">
        <v>744.8</v>
      </c>
      <c r="O4">
        <v>163.11000000000001</v>
      </c>
      <c r="P4" t="s">
        <v>45</v>
      </c>
      <c r="Q4" t="s">
        <v>46</v>
      </c>
    </row>
    <row r="5" spans="1:17" x14ac:dyDescent="0.35">
      <c r="A5" t="s">
        <v>47</v>
      </c>
      <c r="B5" s="1">
        <v>45298</v>
      </c>
      <c r="C5" s="1">
        <v>45300</v>
      </c>
      <c r="D5" t="s">
        <v>48</v>
      </c>
      <c r="E5" t="s">
        <v>19</v>
      </c>
      <c r="F5" t="s">
        <v>49</v>
      </c>
      <c r="G5" t="s">
        <v>50</v>
      </c>
      <c r="H5" t="s">
        <v>22</v>
      </c>
      <c r="I5" t="s">
        <v>23</v>
      </c>
      <c r="J5" t="s">
        <v>51</v>
      </c>
      <c r="K5">
        <v>2</v>
      </c>
      <c r="L5">
        <v>159</v>
      </c>
      <c r="M5">
        <v>0.1</v>
      </c>
      <c r="N5">
        <v>286.2</v>
      </c>
      <c r="O5">
        <v>33.770000000000003</v>
      </c>
      <c r="P5" t="s">
        <v>52</v>
      </c>
      <c r="Q5" t="s">
        <v>53</v>
      </c>
    </row>
    <row r="6" spans="1:17" x14ac:dyDescent="0.35">
      <c r="A6" t="s">
        <v>54</v>
      </c>
      <c r="B6" s="1">
        <v>45300</v>
      </c>
      <c r="C6" s="1">
        <v>45305</v>
      </c>
      <c r="D6" t="s">
        <v>55</v>
      </c>
      <c r="E6" t="s">
        <v>29</v>
      </c>
      <c r="F6" t="s">
        <v>20</v>
      </c>
      <c r="G6" t="s">
        <v>56</v>
      </c>
      <c r="H6" t="s">
        <v>32</v>
      </c>
      <c r="I6" t="s">
        <v>33</v>
      </c>
      <c r="J6" t="s">
        <v>57</v>
      </c>
      <c r="K6">
        <v>5</v>
      </c>
      <c r="L6">
        <v>206</v>
      </c>
      <c r="M6">
        <v>0.15</v>
      </c>
      <c r="N6">
        <v>875.5</v>
      </c>
      <c r="O6">
        <v>172.47</v>
      </c>
      <c r="P6" t="s">
        <v>25</v>
      </c>
      <c r="Q6" t="s">
        <v>26</v>
      </c>
    </row>
    <row r="7" spans="1:17" x14ac:dyDescent="0.35">
      <c r="A7" t="s">
        <v>58</v>
      </c>
      <c r="B7" s="1">
        <v>45301</v>
      </c>
      <c r="C7" s="1">
        <v>45309</v>
      </c>
      <c r="D7" t="s">
        <v>59</v>
      </c>
      <c r="E7" t="s">
        <v>39</v>
      </c>
      <c r="F7" t="s">
        <v>30</v>
      </c>
      <c r="G7" t="s">
        <v>60</v>
      </c>
      <c r="H7" t="s">
        <v>42</v>
      </c>
      <c r="I7" t="s">
        <v>43</v>
      </c>
      <c r="J7" t="s">
        <v>61</v>
      </c>
      <c r="K7">
        <v>8</v>
      </c>
      <c r="L7">
        <v>253</v>
      </c>
      <c r="M7">
        <v>0.2</v>
      </c>
      <c r="N7">
        <v>1619.2</v>
      </c>
      <c r="O7">
        <v>204.02</v>
      </c>
      <c r="P7" t="s">
        <v>35</v>
      </c>
      <c r="Q7" t="s">
        <v>36</v>
      </c>
    </row>
    <row r="8" spans="1:17" x14ac:dyDescent="0.35">
      <c r="A8" t="s">
        <v>62</v>
      </c>
      <c r="B8" s="1">
        <v>45303</v>
      </c>
      <c r="C8" s="1">
        <v>45306</v>
      </c>
      <c r="D8" t="s">
        <v>63</v>
      </c>
      <c r="E8" t="s">
        <v>19</v>
      </c>
      <c r="F8" t="s">
        <v>40</v>
      </c>
      <c r="G8" t="s">
        <v>64</v>
      </c>
      <c r="H8" t="s">
        <v>22</v>
      </c>
      <c r="I8" t="s">
        <v>23</v>
      </c>
      <c r="J8" t="s">
        <v>65</v>
      </c>
      <c r="K8">
        <v>3</v>
      </c>
      <c r="L8">
        <v>300</v>
      </c>
      <c r="M8">
        <v>0</v>
      </c>
      <c r="N8">
        <v>900</v>
      </c>
      <c r="O8">
        <v>162</v>
      </c>
      <c r="P8" t="s">
        <v>45</v>
      </c>
      <c r="Q8" t="s">
        <v>46</v>
      </c>
    </row>
    <row r="9" spans="1:17" x14ac:dyDescent="0.35">
      <c r="A9" t="s">
        <v>66</v>
      </c>
      <c r="B9" s="1">
        <v>45304</v>
      </c>
      <c r="C9" s="1">
        <v>45310</v>
      </c>
      <c r="D9" t="s">
        <v>67</v>
      </c>
      <c r="E9" t="s">
        <v>29</v>
      </c>
      <c r="F9" t="s">
        <v>49</v>
      </c>
      <c r="G9" t="s">
        <v>68</v>
      </c>
      <c r="H9" t="s">
        <v>32</v>
      </c>
      <c r="I9" t="s">
        <v>33</v>
      </c>
      <c r="J9" t="s">
        <v>69</v>
      </c>
      <c r="K9">
        <v>6</v>
      </c>
      <c r="L9">
        <v>347</v>
      </c>
      <c r="M9">
        <v>0</v>
      </c>
      <c r="N9">
        <v>2082</v>
      </c>
      <c r="O9">
        <v>603.78</v>
      </c>
      <c r="P9" t="s">
        <v>52</v>
      </c>
      <c r="Q9" t="s">
        <v>53</v>
      </c>
    </row>
    <row r="10" spans="1:17" x14ac:dyDescent="0.35">
      <c r="A10" t="s">
        <v>70</v>
      </c>
      <c r="B10" s="1">
        <v>45306</v>
      </c>
      <c r="C10" s="1">
        <v>45307</v>
      </c>
      <c r="D10" t="s">
        <v>71</v>
      </c>
      <c r="E10" t="s">
        <v>39</v>
      </c>
      <c r="F10" t="s">
        <v>20</v>
      </c>
      <c r="G10" t="s">
        <v>21</v>
      </c>
      <c r="H10" t="s">
        <v>42</v>
      </c>
      <c r="I10" t="s">
        <v>43</v>
      </c>
      <c r="J10" t="s">
        <v>72</v>
      </c>
      <c r="K10">
        <v>1</v>
      </c>
      <c r="L10">
        <v>394</v>
      </c>
      <c r="M10">
        <v>0.05</v>
      </c>
      <c r="N10">
        <v>374.3</v>
      </c>
      <c r="O10">
        <v>81.97</v>
      </c>
      <c r="P10" t="s">
        <v>25</v>
      </c>
      <c r="Q10" t="s">
        <v>26</v>
      </c>
    </row>
    <row r="11" spans="1:17" x14ac:dyDescent="0.35">
      <c r="A11" t="s">
        <v>73</v>
      </c>
      <c r="B11" s="1">
        <v>45307</v>
      </c>
      <c r="C11" s="1">
        <v>45311</v>
      </c>
      <c r="D11" t="s">
        <v>74</v>
      </c>
      <c r="E11" t="s">
        <v>19</v>
      </c>
      <c r="F11" t="s">
        <v>30</v>
      </c>
      <c r="G11" t="s">
        <v>31</v>
      </c>
      <c r="H11" t="s">
        <v>22</v>
      </c>
      <c r="I11" t="s">
        <v>75</v>
      </c>
      <c r="J11" t="s">
        <v>76</v>
      </c>
      <c r="K11">
        <v>4</v>
      </c>
      <c r="L11">
        <v>441</v>
      </c>
      <c r="M11">
        <v>0.1</v>
      </c>
      <c r="N11">
        <v>1587.6</v>
      </c>
      <c r="O11">
        <v>187.34</v>
      </c>
      <c r="P11" t="s">
        <v>35</v>
      </c>
      <c r="Q11" t="s">
        <v>36</v>
      </c>
    </row>
    <row r="12" spans="1:17" x14ac:dyDescent="0.35">
      <c r="A12" t="s">
        <v>77</v>
      </c>
      <c r="B12" s="1">
        <v>45309</v>
      </c>
      <c r="C12" s="1">
        <v>45316</v>
      </c>
      <c r="D12" t="s">
        <v>78</v>
      </c>
      <c r="E12" t="s">
        <v>29</v>
      </c>
      <c r="F12" t="s">
        <v>40</v>
      </c>
      <c r="G12" t="s">
        <v>41</v>
      </c>
      <c r="H12" t="s">
        <v>32</v>
      </c>
      <c r="I12" t="s">
        <v>79</v>
      </c>
      <c r="J12" t="s">
        <v>80</v>
      </c>
      <c r="K12">
        <v>7</v>
      </c>
      <c r="L12">
        <v>488</v>
      </c>
      <c r="M12">
        <v>0.15</v>
      </c>
      <c r="N12">
        <v>2903.6</v>
      </c>
      <c r="O12">
        <v>572.01</v>
      </c>
      <c r="P12" t="s">
        <v>45</v>
      </c>
      <c r="Q12" t="s">
        <v>46</v>
      </c>
    </row>
    <row r="13" spans="1:17" x14ac:dyDescent="0.35">
      <c r="A13" t="s">
        <v>81</v>
      </c>
      <c r="B13" s="1">
        <v>45310</v>
      </c>
      <c r="C13" s="1">
        <v>45312</v>
      </c>
      <c r="D13" t="s">
        <v>82</v>
      </c>
      <c r="E13" t="s">
        <v>39</v>
      </c>
      <c r="F13" t="s">
        <v>49</v>
      </c>
      <c r="G13" t="s">
        <v>50</v>
      </c>
      <c r="H13" t="s">
        <v>42</v>
      </c>
      <c r="I13" t="s">
        <v>83</v>
      </c>
      <c r="J13" t="s">
        <v>84</v>
      </c>
      <c r="K13">
        <v>2</v>
      </c>
      <c r="L13">
        <v>535</v>
      </c>
      <c r="M13">
        <v>0.2</v>
      </c>
      <c r="N13">
        <v>856</v>
      </c>
      <c r="O13">
        <v>107.86</v>
      </c>
      <c r="P13" t="s">
        <v>52</v>
      </c>
      <c r="Q13" t="s">
        <v>53</v>
      </c>
    </row>
    <row r="14" spans="1:17" x14ac:dyDescent="0.35">
      <c r="A14" t="s">
        <v>85</v>
      </c>
      <c r="B14" s="1">
        <v>45312</v>
      </c>
      <c r="C14" s="1">
        <v>45317</v>
      </c>
      <c r="D14" t="s">
        <v>86</v>
      </c>
      <c r="E14" t="s">
        <v>19</v>
      </c>
      <c r="F14" t="s">
        <v>20</v>
      </c>
      <c r="G14" t="s">
        <v>56</v>
      </c>
      <c r="H14" t="s">
        <v>22</v>
      </c>
      <c r="I14" t="s">
        <v>75</v>
      </c>
      <c r="J14" t="s">
        <v>87</v>
      </c>
      <c r="K14">
        <v>5</v>
      </c>
      <c r="L14">
        <v>582</v>
      </c>
      <c r="M14">
        <v>0</v>
      </c>
      <c r="N14">
        <v>2910</v>
      </c>
      <c r="O14">
        <v>523.79999999999995</v>
      </c>
      <c r="P14" t="s">
        <v>25</v>
      </c>
      <c r="Q14" t="s">
        <v>26</v>
      </c>
    </row>
    <row r="15" spans="1:17" x14ac:dyDescent="0.35">
      <c r="A15" t="s">
        <v>88</v>
      </c>
      <c r="B15" s="1">
        <v>45313</v>
      </c>
      <c r="C15" s="1">
        <v>45321</v>
      </c>
      <c r="D15" t="s">
        <v>89</v>
      </c>
      <c r="E15" t="s">
        <v>29</v>
      </c>
      <c r="F15" t="s">
        <v>30</v>
      </c>
      <c r="G15" t="s">
        <v>60</v>
      </c>
      <c r="H15" t="s">
        <v>32</v>
      </c>
      <c r="I15" t="s">
        <v>79</v>
      </c>
      <c r="J15" t="s">
        <v>90</v>
      </c>
      <c r="K15">
        <v>8</v>
      </c>
      <c r="L15">
        <v>629</v>
      </c>
      <c r="M15">
        <v>0</v>
      </c>
      <c r="N15">
        <v>5032</v>
      </c>
      <c r="O15">
        <v>1459.28</v>
      </c>
      <c r="P15" t="s">
        <v>35</v>
      </c>
      <c r="Q15" t="s">
        <v>36</v>
      </c>
    </row>
    <row r="16" spans="1:17" x14ac:dyDescent="0.35">
      <c r="A16" t="s">
        <v>91</v>
      </c>
      <c r="B16" s="1">
        <v>45315</v>
      </c>
      <c r="C16" s="1">
        <v>45318</v>
      </c>
      <c r="D16" t="s">
        <v>92</v>
      </c>
      <c r="E16" t="s">
        <v>39</v>
      </c>
      <c r="F16" t="s">
        <v>40</v>
      </c>
      <c r="G16" t="s">
        <v>64</v>
      </c>
      <c r="H16" t="s">
        <v>42</v>
      </c>
      <c r="I16" t="s">
        <v>83</v>
      </c>
      <c r="J16" t="s">
        <v>93</v>
      </c>
      <c r="K16">
        <v>3</v>
      </c>
      <c r="L16">
        <v>676</v>
      </c>
      <c r="M16">
        <v>0.05</v>
      </c>
      <c r="N16">
        <v>1926.6</v>
      </c>
      <c r="O16">
        <v>421.93</v>
      </c>
      <c r="P16" t="s">
        <v>45</v>
      </c>
      <c r="Q16" t="s">
        <v>46</v>
      </c>
    </row>
    <row r="17" spans="1:17" x14ac:dyDescent="0.35">
      <c r="A17" t="s">
        <v>94</v>
      </c>
      <c r="B17" s="1">
        <v>45316</v>
      </c>
      <c r="C17" s="1">
        <v>45322</v>
      </c>
      <c r="D17" t="s">
        <v>95</v>
      </c>
      <c r="E17" t="s">
        <v>19</v>
      </c>
      <c r="F17" t="s">
        <v>49</v>
      </c>
      <c r="G17" t="s">
        <v>68</v>
      </c>
      <c r="H17" t="s">
        <v>22</v>
      </c>
      <c r="I17" t="s">
        <v>75</v>
      </c>
      <c r="J17" t="s">
        <v>96</v>
      </c>
      <c r="K17">
        <v>6</v>
      </c>
      <c r="L17">
        <v>723</v>
      </c>
      <c r="M17">
        <v>0.1</v>
      </c>
      <c r="N17">
        <v>3904.2</v>
      </c>
      <c r="O17">
        <v>460.7</v>
      </c>
      <c r="P17" t="s">
        <v>52</v>
      </c>
      <c r="Q17" t="s">
        <v>53</v>
      </c>
    </row>
    <row r="18" spans="1:17" x14ac:dyDescent="0.35">
      <c r="A18" t="s">
        <v>97</v>
      </c>
      <c r="B18" s="1">
        <v>45318</v>
      </c>
      <c r="C18" s="1">
        <v>45319</v>
      </c>
      <c r="D18" t="s">
        <v>98</v>
      </c>
      <c r="E18" t="s">
        <v>29</v>
      </c>
      <c r="F18" t="s">
        <v>20</v>
      </c>
      <c r="G18" t="s">
        <v>21</v>
      </c>
      <c r="H18" t="s">
        <v>32</v>
      </c>
      <c r="I18" t="s">
        <v>79</v>
      </c>
      <c r="J18" t="s">
        <v>99</v>
      </c>
      <c r="K18">
        <v>1</v>
      </c>
      <c r="L18">
        <v>770</v>
      </c>
      <c r="M18">
        <v>0.15</v>
      </c>
      <c r="N18">
        <v>654.5</v>
      </c>
      <c r="O18">
        <v>128.94</v>
      </c>
      <c r="P18" t="s">
        <v>25</v>
      </c>
      <c r="Q18" t="s">
        <v>26</v>
      </c>
    </row>
    <row r="19" spans="1:17" x14ac:dyDescent="0.35">
      <c r="A19" t="s">
        <v>100</v>
      </c>
      <c r="B19" s="1">
        <v>45319</v>
      </c>
      <c r="C19" s="1">
        <v>45323</v>
      </c>
      <c r="D19" t="s">
        <v>101</v>
      </c>
      <c r="E19" t="s">
        <v>39</v>
      </c>
      <c r="F19" t="s">
        <v>30</v>
      </c>
      <c r="G19" t="s">
        <v>31</v>
      </c>
      <c r="H19" t="s">
        <v>42</v>
      </c>
      <c r="I19" t="s">
        <v>83</v>
      </c>
      <c r="J19" t="s">
        <v>102</v>
      </c>
      <c r="K19">
        <v>4</v>
      </c>
      <c r="L19">
        <v>37</v>
      </c>
      <c r="M19">
        <v>0.2</v>
      </c>
      <c r="N19">
        <v>118.4</v>
      </c>
      <c r="O19">
        <v>14.92</v>
      </c>
      <c r="P19" t="s">
        <v>35</v>
      </c>
      <c r="Q19" t="s">
        <v>36</v>
      </c>
    </row>
    <row r="20" spans="1:17" x14ac:dyDescent="0.35">
      <c r="A20" t="s">
        <v>103</v>
      </c>
      <c r="B20" s="1">
        <v>45321</v>
      </c>
      <c r="C20" s="1">
        <v>45328</v>
      </c>
      <c r="D20" t="s">
        <v>104</v>
      </c>
      <c r="E20" t="s">
        <v>19</v>
      </c>
      <c r="F20" t="s">
        <v>40</v>
      </c>
      <c r="G20" t="s">
        <v>41</v>
      </c>
      <c r="H20" t="s">
        <v>22</v>
      </c>
      <c r="I20" t="s">
        <v>105</v>
      </c>
      <c r="J20" t="s">
        <v>106</v>
      </c>
      <c r="K20">
        <v>7</v>
      </c>
      <c r="L20">
        <v>84</v>
      </c>
      <c r="M20">
        <v>0</v>
      </c>
      <c r="N20">
        <v>588</v>
      </c>
      <c r="O20">
        <v>105.84</v>
      </c>
      <c r="P20" t="s">
        <v>45</v>
      </c>
      <c r="Q20" t="s">
        <v>46</v>
      </c>
    </row>
    <row r="21" spans="1:17" x14ac:dyDescent="0.35">
      <c r="A21" t="s">
        <v>107</v>
      </c>
      <c r="B21" s="1">
        <v>45322</v>
      </c>
      <c r="C21" s="1">
        <v>45324</v>
      </c>
      <c r="D21" t="s">
        <v>108</v>
      </c>
      <c r="E21" t="s">
        <v>29</v>
      </c>
      <c r="F21" t="s">
        <v>49</v>
      </c>
      <c r="G21" t="s">
        <v>50</v>
      </c>
      <c r="H21" t="s">
        <v>32</v>
      </c>
      <c r="I21" t="s">
        <v>109</v>
      </c>
      <c r="J21" t="s">
        <v>110</v>
      </c>
      <c r="K21">
        <v>2</v>
      </c>
      <c r="L21">
        <v>131</v>
      </c>
      <c r="M21">
        <v>0</v>
      </c>
      <c r="N21">
        <v>262</v>
      </c>
      <c r="O21">
        <v>2.62</v>
      </c>
      <c r="P21" t="s">
        <v>52</v>
      </c>
      <c r="Q21" t="s">
        <v>53</v>
      </c>
    </row>
    <row r="22" spans="1:17" x14ac:dyDescent="0.35">
      <c r="A22" t="s">
        <v>111</v>
      </c>
      <c r="B22" s="1">
        <v>45324</v>
      </c>
      <c r="C22" s="1">
        <v>45329</v>
      </c>
      <c r="D22" t="s">
        <v>112</v>
      </c>
      <c r="E22" t="s">
        <v>39</v>
      </c>
      <c r="F22" t="s">
        <v>20</v>
      </c>
      <c r="G22" t="s">
        <v>56</v>
      </c>
      <c r="H22" t="s">
        <v>42</v>
      </c>
      <c r="I22" t="s">
        <v>113</v>
      </c>
      <c r="J22" t="s">
        <v>114</v>
      </c>
      <c r="K22">
        <v>5</v>
      </c>
      <c r="L22">
        <v>178</v>
      </c>
      <c r="M22">
        <v>0.05</v>
      </c>
      <c r="N22">
        <v>845.5</v>
      </c>
      <c r="O22">
        <v>185.16</v>
      </c>
      <c r="P22" t="s">
        <v>25</v>
      </c>
      <c r="Q22" t="s">
        <v>26</v>
      </c>
    </row>
    <row r="23" spans="1:17" x14ac:dyDescent="0.35">
      <c r="A23" t="s">
        <v>115</v>
      </c>
      <c r="B23" s="1">
        <v>45325</v>
      </c>
      <c r="C23" s="1">
        <v>45333</v>
      </c>
      <c r="D23" t="s">
        <v>116</v>
      </c>
      <c r="E23" t="s">
        <v>19</v>
      </c>
      <c r="F23" t="s">
        <v>30</v>
      </c>
      <c r="G23" t="s">
        <v>60</v>
      </c>
      <c r="H23" t="s">
        <v>22</v>
      </c>
      <c r="I23" t="s">
        <v>105</v>
      </c>
      <c r="J23" t="s">
        <v>117</v>
      </c>
      <c r="K23">
        <v>8</v>
      </c>
      <c r="L23">
        <v>225</v>
      </c>
      <c r="M23">
        <v>0.1</v>
      </c>
      <c r="N23">
        <v>1620</v>
      </c>
      <c r="O23">
        <v>191.16</v>
      </c>
      <c r="P23" t="s">
        <v>35</v>
      </c>
      <c r="Q23" t="s">
        <v>36</v>
      </c>
    </row>
    <row r="24" spans="1:17" x14ac:dyDescent="0.35">
      <c r="A24" t="s">
        <v>118</v>
      </c>
      <c r="B24" s="1">
        <v>45327</v>
      </c>
      <c r="C24" s="1">
        <v>45330</v>
      </c>
      <c r="D24" t="s">
        <v>119</v>
      </c>
      <c r="E24" t="s">
        <v>29</v>
      </c>
      <c r="F24" t="s">
        <v>40</v>
      </c>
      <c r="G24" t="s">
        <v>64</v>
      </c>
      <c r="H24" t="s">
        <v>32</v>
      </c>
      <c r="I24" t="s">
        <v>109</v>
      </c>
      <c r="J24" t="s">
        <v>120</v>
      </c>
      <c r="K24">
        <v>3</v>
      </c>
      <c r="L24">
        <v>272</v>
      </c>
      <c r="M24">
        <v>0.15</v>
      </c>
      <c r="N24">
        <v>693.6</v>
      </c>
      <c r="O24">
        <v>136.63999999999999</v>
      </c>
      <c r="P24" t="s">
        <v>45</v>
      </c>
      <c r="Q24" t="s">
        <v>46</v>
      </c>
    </row>
    <row r="25" spans="1:17" x14ac:dyDescent="0.35">
      <c r="A25" t="s">
        <v>121</v>
      </c>
      <c r="B25" s="1">
        <v>45328</v>
      </c>
      <c r="C25" s="1">
        <v>45334</v>
      </c>
      <c r="D25" t="s">
        <v>122</v>
      </c>
      <c r="E25" t="s">
        <v>39</v>
      </c>
      <c r="F25" t="s">
        <v>49</v>
      </c>
      <c r="G25" t="s">
        <v>68</v>
      </c>
      <c r="H25" t="s">
        <v>42</v>
      </c>
      <c r="I25" t="s">
        <v>113</v>
      </c>
      <c r="J25" t="s">
        <v>123</v>
      </c>
      <c r="K25">
        <v>6</v>
      </c>
      <c r="L25">
        <v>319</v>
      </c>
      <c r="M25">
        <v>0.2</v>
      </c>
      <c r="N25">
        <v>1531.2</v>
      </c>
      <c r="O25">
        <v>192.93</v>
      </c>
      <c r="P25" t="s">
        <v>52</v>
      </c>
      <c r="Q25" t="s">
        <v>53</v>
      </c>
    </row>
    <row r="26" spans="1:17" x14ac:dyDescent="0.35">
      <c r="A26" t="s">
        <v>124</v>
      </c>
      <c r="B26" s="1">
        <v>45330</v>
      </c>
      <c r="C26" s="1">
        <v>45331</v>
      </c>
      <c r="D26" t="s">
        <v>125</v>
      </c>
      <c r="E26" t="s">
        <v>19</v>
      </c>
      <c r="F26" t="s">
        <v>20</v>
      </c>
      <c r="G26" t="s">
        <v>21</v>
      </c>
      <c r="H26" t="s">
        <v>22</v>
      </c>
      <c r="I26" t="s">
        <v>105</v>
      </c>
      <c r="J26" t="s">
        <v>126</v>
      </c>
      <c r="K26">
        <v>1</v>
      </c>
      <c r="L26">
        <v>366</v>
      </c>
      <c r="M26">
        <v>0</v>
      </c>
      <c r="N26">
        <v>366</v>
      </c>
      <c r="O26">
        <v>65.88</v>
      </c>
      <c r="P26" t="s">
        <v>25</v>
      </c>
      <c r="Q26" t="s">
        <v>26</v>
      </c>
    </row>
    <row r="27" spans="1:17" x14ac:dyDescent="0.35">
      <c r="A27" t="s">
        <v>127</v>
      </c>
      <c r="B27" s="1">
        <v>45331</v>
      </c>
      <c r="C27" s="1">
        <v>45335</v>
      </c>
      <c r="D27" t="s">
        <v>128</v>
      </c>
      <c r="E27" t="s">
        <v>29</v>
      </c>
      <c r="F27" t="s">
        <v>30</v>
      </c>
      <c r="G27" t="s">
        <v>31</v>
      </c>
      <c r="H27" t="s">
        <v>32</v>
      </c>
      <c r="I27" t="s">
        <v>109</v>
      </c>
      <c r="J27" t="s">
        <v>129</v>
      </c>
      <c r="K27">
        <v>4</v>
      </c>
      <c r="L27">
        <v>413</v>
      </c>
      <c r="M27">
        <v>0</v>
      </c>
      <c r="N27">
        <v>1652</v>
      </c>
      <c r="O27">
        <v>479.08</v>
      </c>
      <c r="P27" t="s">
        <v>35</v>
      </c>
      <c r="Q27" t="s">
        <v>36</v>
      </c>
    </row>
    <row r="28" spans="1:17" x14ac:dyDescent="0.35">
      <c r="A28" t="s">
        <v>130</v>
      </c>
      <c r="B28" s="1">
        <v>45333</v>
      </c>
      <c r="C28" s="1">
        <v>45340</v>
      </c>
      <c r="D28" t="s">
        <v>131</v>
      </c>
      <c r="E28" t="s">
        <v>39</v>
      </c>
      <c r="F28" t="s">
        <v>40</v>
      </c>
      <c r="G28" t="s">
        <v>41</v>
      </c>
      <c r="H28" t="s">
        <v>42</v>
      </c>
      <c r="I28" t="s">
        <v>113</v>
      </c>
      <c r="J28" t="s">
        <v>132</v>
      </c>
      <c r="K28">
        <v>7</v>
      </c>
      <c r="L28">
        <v>460</v>
      </c>
      <c r="M28">
        <v>0.05</v>
      </c>
      <c r="N28">
        <v>3059</v>
      </c>
      <c r="O28">
        <v>669.92</v>
      </c>
      <c r="P28" t="s">
        <v>45</v>
      </c>
      <c r="Q28" t="s">
        <v>46</v>
      </c>
    </row>
    <row r="29" spans="1:17" x14ac:dyDescent="0.35">
      <c r="A29" t="s">
        <v>133</v>
      </c>
      <c r="B29" s="1">
        <v>45335</v>
      </c>
      <c r="C29" s="1">
        <v>45337</v>
      </c>
      <c r="D29" t="s">
        <v>134</v>
      </c>
      <c r="E29" t="s">
        <v>19</v>
      </c>
      <c r="F29" t="s">
        <v>49</v>
      </c>
      <c r="G29" t="s">
        <v>50</v>
      </c>
      <c r="H29" t="s">
        <v>22</v>
      </c>
      <c r="I29" t="s">
        <v>23</v>
      </c>
      <c r="J29" t="s">
        <v>51</v>
      </c>
      <c r="K29">
        <v>2</v>
      </c>
      <c r="L29">
        <v>507</v>
      </c>
      <c r="M29">
        <v>0.1</v>
      </c>
      <c r="N29">
        <v>912.6</v>
      </c>
      <c r="O29">
        <v>107.69</v>
      </c>
      <c r="P29" t="s">
        <v>52</v>
      </c>
      <c r="Q29" t="s">
        <v>53</v>
      </c>
    </row>
    <row r="30" spans="1:17" x14ac:dyDescent="0.35">
      <c r="A30" t="s">
        <v>135</v>
      </c>
      <c r="B30" s="1">
        <v>45336</v>
      </c>
      <c r="C30" s="1">
        <v>45341</v>
      </c>
      <c r="D30" t="s">
        <v>136</v>
      </c>
      <c r="E30" t="s">
        <v>29</v>
      </c>
      <c r="F30" t="s">
        <v>20</v>
      </c>
      <c r="G30" t="s">
        <v>56</v>
      </c>
      <c r="H30" t="s">
        <v>32</v>
      </c>
      <c r="I30" t="s">
        <v>33</v>
      </c>
      <c r="J30" t="s">
        <v>57</v>
      </c>
      <c r="K30">
        <v>5</v>
      </c>
      <c r="L30">
        <v>554</v>
      </c>
      <c r="M30">
        <v>0.15</v>
      </c>
      <c r="N30">
        <v>2354.5</v>
      </c>
      <c r="O30">
        <v>463.84</v>
      </c>
      <c r="P30" t="s">
        <v>25</v>
      </c>
      <c r="Q30" t="s">
        <v>26</v>
      </c>
    </row>
    <row r="31" spans="1:17" x14ac:dyDescent="0.35">
      <c r="A31" t="s">
        <v>137</v>
      </c>
      <c r="B31" s="1">
        <v>45338</v>
      </c>
      <c r="C31" s="1">
        <v>45346</v>
      </c>
      <c r="D31" t="s">
        <v>138</v>
      </c>
      <c r="E31" t="s">
        <v>39</v>
      </c>
      <c r="F31" t="s">
        <v>30</v>
      </c>
      <c r="G31" t="s">
        <v>60</v>
      </c>
      <c r="H31" t="s">
        <v>42</v>
      </c>
      <c r="I31" t="s">
        <v>43</v>
      </c>
      <c r="J31" t="s">
        <v>61</v>
      </c>
      <c r="K31">
        <v>8</v>
      </c>
      <c r="L31">
        <v>601</v>
      </c>
      <c r="M31">
        <v>0.2</v>
      </c>
      <c r="N31">
        <v>3846.4</v>
      </c>
      <c r="O31">
        <v>484.65</v>
      </c>
      <c r="P31" t="s">
        <v>35</v>
      </c>
      <c r="Q31" t="s">
        <v>36</v>
      </c>
    </row>
    <row r="32" spans="1:17" x14ac:dyDescent="0.35">
      <c r="A32" t="s">
        <v>139</v>
      </c>
      <c r="B32" s="1">
        <v>45339</v>
      </c>
      <c r="C32" s="1">
        <v>45342</v>
      </c>
      <c r="D32" t="s">
        <v>140</v>
      </c>
      <c r="E32" t="s">
        <v>19</v>
      </c>
      <c r="F32" t="s">
        <v>40</v>
      </c>
      <c r="G32" t="s">
        <v>64</v>
      </c>
      <c r="H32" t="s">
        <v>22</v>
      </c>
      <c r="I32" t="s">
        <v>23</v>
      </c>
      <c r="J32" t="s">
        <v>65</v>
      </c>
      <c r="K32">
        <v>3</v>
      </c>
      <c r="L32">
        <v>648</v>
      </c>
      <c r="M32">
        <v>0</v>
      </c>
      <c r="N32">
        <v>1944</v>
      </c>
      <c r="O32">
        <v>349.92</v>
      </c>
      <c r="P32" t="s">
        <v>45</v>
      </c>
      <c r="Q32" t="s">
        <v>46</v>
      </c>
    </row>
    <row r="33" spans="1:17" x14ac:dyDescent="0.35">
      <c r="A33" t="s">
        <v>141</v>
      </c>
      <c r="B33" s="1">
        <v>45341</v>
      </c>
      <c r="C33" s="1">
        <v>45347</v>
      </c>
      <c r="D33" t="s">
        <v>142</v>
      </c>
      <c r="E33" t="s">
        <v>29</v>
      </c>
      <c r="F33" t="s">
        <v>49</v>
      </c>
      <c r="G33" t="s">
        <v>68</v>
      </c>
      <c r="H33" t="s">
        <v>32</v>
      </c>
      <c r="I33" t="s">
        <v>33</v>
      </c>
      <c r="J33" t="s">
        <v>69</v>
      </c>
      <c r="K33">
        <v>6</v>
      </c>
      <c r="L33">
        <v>695</v>
      </c>
      <c r="M33">
        <v>0</v>
      </c>
      <c r="N33">
        <v>4170</v>
      </c>
      <c r="O33">
        <v>1209.3</v>
      </c>
      <c r="P33" t="s">
        <v>52</v>
      </c>
      <c r="Q33" t="s">
        <v>53</v>
      </c>
    </row>
    <row r="34" spans="1:17" x14ac:dyDescent="0.35">
      <c r="A34" t="s">
        <v>143</v>
      </c>
      <c r="B34" s="1">
        <v>45342</v>
      </c>
      <c r="C34" s="1">
        <v>45343</v>
      </c>
      <c r="D34" t="s">
        <v>144</v>
      </c>
      <c r="E34" t="s">
        <v>39</v>
      </c>
      <c r="F34" t="s">
        <v>20</v>
      </c>
      <c r="G34" t="s">
        <v>21</v>
      </c>
      <c r="H34" t="s">
        <v>42</v>
      </c>
      <c r="I34" t="s">
        <v>43</v>
      </c>
      <c r="J34" t="s">
        <v>72</v>
      </c>
      <c r="K34">
        <v>1</v>
      </c>
      <c r="L34">
        <v>742</v>
      </c>
      <c r="M34">
        <v>0.05</v>
      </c>
      <c r="N34">
        <v>704.9</v>
      </c>
      <c r="O34">
        <v>154.37</v>
      </c>
      <c r="P34" t="s">
        <v>25</v>
      </c>
      <c r="Q34" t="s">
        <v>26</v>
      </c>
    </row>
    <row r="35" spans="1:17" x14ac:dyDescent="0.35">
      <c r="A35" t="s">
        <v>145</v>
      </c>
      <c r="B35" s="1">
        <v>45344</v>
      </c>
      <c r="C35" s="1">
        <v>45348</v>
      </c>
      <c r="D35" t="s">
        <v>146</v>
      </c>
      <c r="E35" t="s">
        <v>19</v>
      </c>
      <c r="F35" t="s">
        <v>30</v>
      </c>
      <c r="G35" t="s">
        <v>31</v>
      </c>
      <c r="H35" t="s">
        <v>22</v>
      </c>
      <c r="I35" t="s">
        <v>23</v>
      </c>
      <c r="J35" t="s">
        <v>147</v>
      </c>
      <c r="K35">
        <v>4</v>
      </c>
      <c r="L35">
        <v>789</v>
      </c>
      <c r="M35">
        <v>0.1</v>
      </c>
      <c r="N35">
        <v>2840.4</v>
      </c>
      <c r="O35">
        <v>335.17</v>
      </c>
      <c r="P35" t="s">
        <v>35</v>
      </c>
      <c r="Q35" t="s">
        <v>36</v>
      </c>
    </row>
    <row r="36" spans="1:17" x14ac:dyDescent="0.35">
      <c r="A36" t="s">
        <v>148</v>
      </c>
      <c r="B36" s="1">
        <v>45345</v>
      </c>
      <c r="C36" s="1">
        <v>45352</v>
      </c>
      <c r="D36" t="s">
        <v>149</v>
      </c>
      <c r="E36" t="s">
        <v>29</v>
      </c>
      <c r="F36" t="s">
        <v>40</v>
      </c>
      <c r="G36" t="s">
        <v>41</v>
      </c>
      <c r="H36" t="s">
        <v>32</v>
      </c>
      <c r="I36" t="s">
        <v>33</v>
      </c>
      <c r="J36" t="s">
        <v>150</v>
      </c>
      <c r="K36">
        <v>7</v>
      </c>
      <c r="L36">
        <v>56</v>
      </c>
      <c r="M36">
        <v>0.15</v>
      </c>
      <c r="N36">
        <v>333.2</v>
      </c>
      <c r="O36">
        <v>65.64</v>
      </c>
      <c r="P36" t="s">
        <v>45</v>
      </c>
      <c r="Q36" t="s">
        <v>46</v>
      </c>
    </row>
    <row r="37" spans="1:17" x14ac:dyDescent="0.35">
      <c r="A37" t="s">
        <v>151</v>
      </c>
      <c r="B37" s="1">
        <v>45347</v>
      </c>
      <c r="C37" s="1">
        <v>45349</v>
      </c>
      <c r="D37" t="s">
        <v>152</v>
      </c>
      <c r="E37" t="s">
        <v>39</v>
      </c>
      <c r="F37" t="s">
        <v>49</v>
      </c>
      <c r="G37" t="s">
        <v>50</v>
      </c>
      <c r="H37" t="s">
        <v>42</v>
      </c>
      <c r="I37" t="s">
        <v>43</v>
      </c>
      <c r="J37" t="s">
        <v>153</v>
      </c>
      <c r="K37">
        <v>2</v>
      </c>
      <c r="L37">
        <v>103</v>
      </c>
      <c r="M37">
        <v>0.2</v>
      </c>
      <c r="N37">
        <v>164.8</v>
      </c>
      <c r="O37">
        <v>20.76</v>
      </c>
      <c r="P37" t="s">
        <v>52</v>
      </c>
      <c r="Q37" t="s">
        <v>53</v>
      </c>
    </row>
    <row r="38" spans="1:17" x14ac:dyDescent="0.35">
      <c r="A38" t="s">
        <v>154</v>
      </c>
      <c r="B38" s="1">
        <v>45348</v>
      </c>
      <c r="C38" s="1">
        <v>45353</v>
      </c>
      <c r="D38" t="s">
        <v>155</v>
      </c>
      <c r="E38" t="s">
        <v>19</v>
      </c>
      <c r="F38" t="s">
        <v>20</v>
      </c>
      <c r="G38" t="s">
        <v>56</v>
      </c>
      <c r="H38" t="s">
        <v>22</v>
      </c>
      <c r="I38" t="s">
        <v>75</v>
      </c>
      <c r="J38" t="s">
        <v>87</v>
      </c>
      <c r="K38">
        <v>5</v>
      </c>
      <c r="L38">
        <v>150</v>
      </c>
      <c r="M38">
        <v>0</v>
      </c>
      <c r="N38">
        <v>750</v>
      </c>
      <c r="O38">
        <v>135</v>
      </c>
      <c r="P38" t="s">
        <v>25</v>
      </c>
      <c r="Q38" t="s">
        <v>26</v>
      </c>
    </row>
    <row r="39" spans="1:17" x14ac:dyDescent="0.35">
      <c r="A39" t="s">
        <v>156</v>
      </c>
      <c r="B39" s="1">
        <v>45350</v>
      </c>
      <c r="C39" s="1">
        <v>45358</v>
      </c>
      <c r="D39" t="s">
        <v>157</v>
      </c>
      <c r="E39" t="s">
        <v>29</v>
      </c>
      <c r="F39" t="s">
        <v>30</v>
      </c>
      <c r="G39" t="s">
        <v>60</v>
      </c>
      <c r="H39" t="s">
        <v>32</v>
      </c>
      <c r="I39" t="s">
        <v>79</v>
      </c>
      <c r="J39" t="s">
        <v>90</v>
      </c>
      <c r="K39">
        <v>8</v>
      </c>
      <c r="L39">
        <v>197</v>
      </c>
      <c r="M39">
        <v>0</v>
      </c>
      <c r="N39">
        <v>1576</v>
      </c>
      <c r="O39">
        <v>457.04</v>
      </c>
      <c r="P39" t="s">
        <v>35</v>
      </c>
      <c r="Q39" t="s">
        <v>36</v>
      </c>
    </row>
    <row r="40" spans="1:17" x14ac:dyDescent="0.35">
      <c r="A40" t="s">
        <v>158</v>
      </c>
      <c r="B40" s="1">
        <v>45351</v>
      </c>
      <c r="C40" s="1">
        <v>45354</v>
      </c>
      <c r="D40" t="s">
        <v>159</v>
      </c>
      <c r="E40" t="s">
        <v>39</v>
      </c>
      <c r="F40" t="s">
        <v>40</v>
      </c>
      <c r="G40" t="s">
        <v>64</v>
      </c>
      <c r="H40" t="s">
        <v>42</v>
      </c>
      <c r="I40" t="s">
        <v>83</v>
      </c>
      <c r="J40" t="s">
        <v>93</v>
      </c>
      <c r="K40">
        <v>3</v>
      </c>
      <c r="L40">
        <v>244</v>
      </c>
      <c r="M40">
        <v>0.05</v>
      </c>
      <c r="N40">
        <v>695.4</v>
      </c>
      <c r="O40">
        <v>-42.42</v>
      </c>
      <c r="P40" t="s">
        <v>45</v>
      </c>
      <c r="Q40" t="s">
        <v>46</v>
      </c>
    </row>
    <row r="41" spans="1:17" x14ac:dyDescent="0.35">
      <c r="A41" t="s">
        <v>160</v>
      </c>
      <c r="B41" s="1">
        <v>45353</v>
      </c>
      <c r="C41" s="1">
        <v>45359</v>
      </c>
      <c r="D41" t="s">
        <v>161</v>
      </c>
      <c r="E41" t="s">
        <v>19</v>
      </c>
      <c r="F41" t="s">
        <v>49</v>
      </c>
      <c r="G41" t="s">
        <v>68</v>
      </c>
      <c r="H41" t="s">
        <v>22</v>
      </c>
      <c r="I41" t="s">
        <v>75</v>
      </c>
      <c r="J41" t="s">
        <v>96</v>
      </c>
      <c r="K41">
        <v>6</v>
      </c>
      <c r="L41">
        <v>291</v>
      </c>
      <c r="M41">
        <v>0.1</v>
      </c>
      <c r="N41">
        <v>1571.4</v>
      </c>
      <c r="O41">
        <v>185.43</v>
      </c>
      <c r="P41" t="s">
        <v>52</v>
      </c>
      <c r="Q41" t="s">
        <v>53</v>
      </c>
    </row>
    <row r="42" spans="1:17" x14ac:dyDescent="0.35">
      <c r="A42" t="s">
        <v>162</v>
      </c>
      <c r="B42" s="1">
        <v>45354</v>
      </c>
      <c r="C42" s="1">
        <v>45355</v>
      </c>
      <c r="D42" t="s">
        <v>163</v>
      </c>
      <c r="E42" t="s">
        <v>29</v>
      </c>
      <c r="F42" t="s">
        <v>20</v>
      </c>
      <c r="G42" t="s">
        <v>21</v>
      </c>
      <c r="H42" t="s">
        <v>32</v>
      </c>
      <c r="I42" t="s">
        <v>79</v>
      </c>
      <c r="J42" t="s">
        <v>99</v>
      </c>
      <c r="K42">
        <v>1</v>
      </c>
      <c r="L42">
        <v>338</v>
      </c>
      <c r="M42">
        <v>0.15</v>
      </c>
      <c r="N42">
        <v>287.3</v>
      </c>
      <c r="O42">
        <v>56.6</v>
      </c>
      <c r="P42" t="s">
        <v>25</v>
      </c>
      <c r="Q42" t="s">
        <v>26</v>
      </c>
    </row>
    <row r="43" spans="1:17" x14ac:dyDescent="0.35">
      <c r="A43" t="s">
        <v>164</v>
      </c>
      <c r="B43" s="1">
        <v>45356</v>
      </c>
      <c r="C43" s="1">
        <v>45360</v>
      </c>
      <c r="D43" t="s">
        <v>165</v>
      </c>
      <c r="E43" t="s">
        <v>39</v>
      </c>
      <c r="F43" t="s">
        <v>30</v>
      </c>
      <c r="G43" t="s">
        <v>31</v>
      </c>
      <c r="H43" t="s">
        <v>42</v>
      </c>
      <c r="I43" t="s">
        <v>83</v>
      </c>
      <c r="J43" t="s">
        <v>102</v>
      </c>
      <c r="K43">
        <v>4</v>
      </c>
      <c r="L43">
        <v>385</v>
      </c>
      <c r="M43">
        <v>0.2</v>
      </c>
      <c r="N43">
        <v>1232</v>
      </c>
      <c r="O43">
        <v>155.22999999999999</v>
      </c>
      <c r="P43" t="s">
        <v>35</v>
      </c>
      <c r="Q43" t="s">
        <v>36</v>
      </c>
    </row>
    <row r="44" spans="1:17" x14ac:dyDescent="0.35">
      <c r="A44" t="s">
        <v>166</v>
      </c>
      <c r="B44" s="1">
        <v>45357</v>
      </c>
      <c r="C44" s="1">
        <v>45364</v>
      </c>
      <c r="D44" t="s">
        <v>167</v>
      </c>
      <c r="E44" t="s">
        <v>19</v>
      </c>
      <c r="F44" t="s">
        <v>40</v>
      </c>
      <c r="G44" t="s">
        <v>41</v>
      </c>
      <c r="H44" t="s">
        <v>22</v>
      </c>
      <c r="I44" t="s">
        <v>75</v>
      </c>
      <c r="J44" t="s">
        <v>168</v>
      </c>
      <c r="K44">
        <v>7</v>
      </c>
      <c r="L44">
        <v>432</v>
      </c>
      <c r="M44">
        <v>0</v>
      </c>
      <c r="N44">
        <v>3024</v>
      </c>
      <c r="O44">
        <v>544.32000000000005</v>
      </c>
      <c r="P44" t="s">
        <v>45</v>
      </c>
      <c r="Q44" t="s">
        <v>46</v>
      </c>
    </row>
    <row r="45" spans="1:17" x14ac:dyDescent="0.35">
      <c r="A45" t="s">
        <v>169</v>
      </c>
      <c r="B45" s="1">
        <v>45359</v>
      </c>
      <c r="C45" s="1">
        <v>45361</v>
      </c>
      <c r="D45" t="s">
        <v>170</v>
      </c>
      <c r="E45" t="s">
        <v>29</v>
      </c>
      <c r="F45" t="s">
        <v>49</v>
      </c>
      <c r="G45" t="s">
        <v>50</v>
      </c>
      <c r="H45" t="s">
        <v>32</v>
      </c>
      <c r="I45" t="s">
        <v>79</v>
      </c>
      <c r="J45" t="s">
        <v>171</v>
      </c>
      <c r="K45">
        <v>2</v>
      </c>
      <c r="L45">
        <v>479</v>
      </c>
      <c r="M45">
        <v>0</v>
      </c>
      <c r="N45">
        <v>958</v>
      </c>
      <c r="O45">
        <v>277.82</v>
      </c>
      <c r="P45" t="s">
        <v>52</v>
      </c>
      <c r="Q45" t="s">
        <v>53</v>
      </c>
    </row>
    <row r="46" spans="1:17" x14ac:dyDescent="0.35">
      <c r="A46" t="s">
        <v>172</v>
      </c>
      <c r="B46" s="1">
        <v>45360</v>
      </c>
      <c r="C46" s="1">
        <v>45365</v>
      </c>
      <c r="D46" t="s">
        <v>173</v>
      </c>
      <c r="E46" t="s">
        <v>39</v>
      </c>
      <c r="F46" t="s">
        <v>20</v>
      </c>
      <c r="G46" t="s">
        <v>56</v>
      </c>
      <c r="H46" t="s">
        <v>42</v>
      </c>
      <c r="I46" t="s">
        <v>83</v>
      </c>
      <c r="J46" t="s">
        <v>174</v>
      </c>
      <c r="K46">
        <v>5</v>
      </c>
      <c r="L46">
        <v>526</v>
      </c>
      <c r="M46">
        <v>0.05</v>
      </c>
      <c r="N46">
        <v>2498.5</v>
      </c>
      <c r="O46">
        <v>547.16999999999996</v>
      </c>
      <c r="P46" t="s">
        <v>25</v>
      </c>
      <c r="Q46" t="s">
        <v>26</v>
      </c>
    </row>
    <row r="47" spans="1:17" x14ac:dyDescent="0.35">
      <c r="A47" t="s">
        <v>175</v>
      </c>
      <c r="B47" s="1">
        <v>45362</v>
      </c>
      <c r="C47" s="1">
        <v>45370</v>
      </c>
      <c r="D47" t="s">
        <v>176</v>
      </c>
      <c r="E47" t="s">
        <v>19</v>
      </c>
      <c r="F47" t="s">
        <v>30</v>
      </c>
      <c r="G47" t="s">
        <v>60</v>
      </c>
      <c r="H47" t="s">
        <v>22</v>
      </c>
      <c r="I47" t="s">
        <v>105</v>
      </c>
      <c r="J47" t="s">
        <v>117</v>
      </c>
      <c r="K47">
        <v>8</v>
      </c>
      <c r="L47">
        <v>573</v>
      </c>
      <c r="M47">
        <v>0.1</v>
      </c>
      <c r="N47">
        <v>4125.6000000000004</v>
      </c>
      <c r="O47">
        <v>486.82</v>
      </c>
      <c r="P47" t="s">
        <v>35</v>
      </c>
      <c r="Q47" t="s">
        <v>36</v>
      </c>
    </row>
    <row r="48" spans="1:17" x14ac:dyDescent="0.35">
      <c r="A48" t="s">
        <v>177</v>
      </c>
      <c r="B48" s="1">
        <v>45363</v>
      </c>
      <c r="C48" s="1">
        <v>45366</v>
      </c>
      <c r="D48" t="s">
        <v>178</v>
      </c>
      <c r="E48" t="s">
        <v>29</v>
      </c>
      <c r="F48" t="s">
        <v>40</v>
      </c>
      <c r="G48" t="s">
        <v>64</v>
      </c>
      <c r="H48" t="s">
        <v>32</v>
      </c>
      <c r="I48" t="s">
        <v>109</v>
      </c>
      <c r="J48" t="s">
        <v>120</v>
      </c>
      <c r="K48">
        <v>3</v>
      </c>
      <c r="L48">
        <v>620</v>
      </c>
      <c r="M48">
        <v>0.15</v>
      </c>
      <c r="N48">
        <v>1581</v>
      </c>
      <c r="O48">
        <v>311.45999999999998</v>
      </c>
      <c r="P48" t="s">
        <v>45</v>
      </c>
      <c r="Q48" t="s">
        <v>46</v>
      </c>
    </row>
    <row r="49" spans="1:17" x14ac:dyDescent="0.35">
      <c r="A49" t="s">
        <v>179</v>
      </c>
      <c r="B49" s="1">
        <v>45365</v>
      </c>
      <c r="C49" s="1">
        <v>45371</v>
      </c>
      <c r="D49" t="s">
        <v>180</v>
      </c>
      <c r="E49" t="s">
        <v>39</v>
      </c>
      <c r="F49" t="s">
        <v>49</v>
      </c>
      <c r="G49" t="s">
        <v>68</v>
      </c>
      <c r="H49" t="s">
        <v>42</v>
      </c>
      <c r="I49" t="s">
        <v>113</v>
      </c>
      <c r="J49" t="s">
        <v>123</v>
      </c>
      <c r="K49">
        <v>6</v>
      </c>
      <c r="L49">
        <v>667</v>
      </c>
      <c r="M49">
        <v>0.2</v>
      </c>
      <c r="N49">
        <v>3201.6</v>
      </c>
      <c r="O49">
        <v>403.4</v>
      </c>
      <c r="P49" t="s">
        <v>52</v>
      </c>
      <c r="Q49" t="s">
        <v>53</v>
      </c>
    </row>
    <row r="50" spans="1:17" x14ac:dyDescent="0.35">
      <c r="A50" t="s">
        <v>181</v>
      </c>
      <c r="B50" s="1">
        <v>45366</v>
      </c>
      <c r="C50" s="1">
        <v>45367</v>
      </c>
      <c r="D50" t="s">
        <v>182</v>
      </c>
      <c r="E50" t="s">
        <v>19</v>
      </c>
      <c r="F50" t="s">
        <v>20</v>
      </c>
      <c r="G50" t="s">
        <v>21</v>
      </c>
      <c r="H50" t="s">
        <v>22</v>
      </c>
      <c r="I50" t="s">
        <v>105</v>
      </c>
      <c r="J50" t="s">
        <v>126</v>
      </c>
      <c r="K50">
        <v>1</v>
      </c>
      <c r="L50">
        <v>714</v>
      </c>
      <c r="M50">
        <v>0</v>
      </c>
      <c r="N50">
        <v>714</v>
      </c>
      <c r="O50">
        <v>128.52000000000001</v>
      </c>
      <c r="P50" t="s">
        <v>25</v>
      </c>
      <c r="Q50" t="s">
        <v>26</v>
      </c>
    </row>
    <row r="51" spans="1:17" x14ac:dyDescent="0.35">
      <c r="A51" t="s">
        <v>183</v>
      </c>
      <c r="B51" s="1">
        <v>45368</v>
      </c>
      <c r="C51" s="1">
        <v>45372</v>
      </c>
      <c r="D51" t="s">
        <v>184</v>
      </c>
      <c r="E51" t="s">
        <v>29</v>
      </c>
      <c r="F51" t="s">
        <v>30</v>
      </c>
      <c r="G51" t="s">
        <v>31</v>
      </c>
      <c r="H51" t="s">
        <v>32</v>
      </c>
      <c r="I51" t="s">
        <v>109</v>
      </c>
      <c r="J51" t="s">
        <v>129</v>
      </c>
      <c r="K51">
        <v>4</v>
      </c>
      <c r="L51">
        <v>761</v>
      </c>
      <c r="M51">
        <v>0</v>
      </c>
      <c r="N51">
        <v>3044</v>
      </c>
      <c r="O51">
        <v>882.76</v>
      </c>
      <c r="P51" t="s">
        <v>35</v>
      </c>
      <c r="Q51" t="s">
        <v>36</v>
      </c>
    </row>
    <row r="52" spans="1:17" x14ac:dyDescent="0.35">
      <c r="A52" t="s">
        <v>185</v>
      </c>
      <c r="B52" s="1">
        <v>45369</v>
      </c>
      <c r="C52" s="1">
        <v>45376</v>
      </c>
      <c r="D52" t="s">
        <v>186</v>
      </c>
      <c r="E52" t="s">
        <v>39</v>
      </c>
      <c r="F52" t="s">
        <v>40</v>
      </c>
      <c r="G52" t="s">
        <v>41</v>
      </c>
      <c r="H52" t="s">
        <v>42</v>
      </c>
      <c r="I52" t="s">
        <v>113</v>
      </c>
      <c r="J52" t="s">
        <v>132</v>
      </c>
      <c r="K52">
        <v>7</v>
      </c>
      <c r="L52">
        <v>28</v>
      </c>
      <c r="M52">
        <v>0.05</v>
      </c>
      <c r="N52">
        <v>186.2</v>
      </c>
      <c r="O52">
        <v>40.78</v>
      </c>
      <c r="P52" t="s">
        <v>45</v>
      </c>
      <c r="Q52" t="s">
        <v>46</v>
      </c>
    </row>
    <row r="53" spans="1:17" x14ac:dyDescent="0.35">
      <c r="A53" t="s">
        <v>187</v>
      </c>
      <c r="B53" s="1">
        <v>45371</v>
      </c>
      <c r="C53" s="1">
        <v>45373</v>
      </c>
      <c r="D53" t="s">
        <v>188</v>
      </c>
      <c r="E53" t="s">
        <v>19</v>
      </c>
      <c r="F53" t="s">
        <v>49</v>
      </c>
      <c r="G53" t="s">
        <v>50</v>
      </c>
      <c r="H53" t="s">
        <v>22</v>
      </c>
      <c r="I53" t="s">
        <v>105</v>
      </c>
      <c r="J53" t="s">
        <v>189</v>
      </c>
      <c r="K53">
        <v>2</v>
      </c>
      <c r="L53">
        <v>75</v>
      </c>
      <c r="M53">
        <v>0.1</v>
      </c>
      <c r="N53">
        <v>135</v>
      </c>
      <c r="O53">
        <v>15.93</v>
      </c>
      <c r="P53" t="s">
        <v>52</v>
      </c>
      <c r="Q53" t="s">
        <v>53</v>
      </c>
    </row>
    <row r="54" spans="1:17" x14ac:dyDescent="0.35">
      <c r="A54" t="s">
        <v>190</v>
      </c>
      <c r="B54" s="1">
        <v>45373</v>
      </c>
      <c r="C54" s="1">
        <v>45378</v>
      </c>
      <c r="D54" t="s">
        <v>191</v>
      </c>
      <c r="E54" t="s">
        <v>29</v>
      </c>
      <c r="F54" t="s">
        <v>20</v>
      </c>
      <c r="G54" t="s">
        <v>56</v>
      </c>
      <c r="H54" t="s">
        <v>32</v>
      </c>
      <c r="I54" t="s">
        <v>109</v>
      </c>
      <c r="J54" t="s">
        <v>192</v>
      </c>
      <c r="K54">
        <v>5</v>
      </c>
      <c r="L54">
        <v>122</v>
      </c>
      <c r="M54">
        <v>0.15</v>
      </c>
      <c r="N54">
        <v>518.5</v>
      </c>
      <c r="O54">
        <v>102.14</v>
      </c>
      <c r="P54" t="s">
        <v>25</v>
      </c>
      <c r="Q54" t="s">
        <v>26</v>
      </c>
    </row>
    <row r="55" spans="1:17" x14ac:dyDescent="0.35">
      <c r="A55" t="s">
        <v>193</v>
      </c>
      <c r="B55" s="1">
        <v>45374</v>
      </c>
      <c r="C55" s="1">
        <v>45382</v>
      </c>
      <c r="D55" t="s">
        <v>194</v>
      </c>
      <c r="E55" t="s">
        <v>39</v>
      </c>
      <c r="F55" t="s">
        <v>30</v>
      </c>
      <c r="G55" t="s">
        <v>60</v>
      </c>
      <c r="H55" t="s">
        <v>42</v>
      </c>
      <c r="I55" t="s">
        <v>113</v>
      </c>
      <c r="J55" t="s">
        <v>195</v>
      </c>
      <c r="K55">
        <v>8</v>
      </c>
      <c r="L55">
        <v>169</v>
      </c>
      <c r="M55">
        <v>0.2</v>
      </c>
      <c r="N55">
        <v>1081.5999999999999</v>
      </c>
      <c r="O55">
        <v>136.28</v>
      </c>
      <c r="P55" t="s">
        <v>35</v>
      </c>
      <c r="Q55" t="s">
        <v>36</v>
      </c>
    </row>
    <row r="56" spans="1:17" x14ac:dyDescent="0.35">
      <c r="A56" t="s">
        <v>196</v>
      </c>
      <c r="B56" s="1">
        <v>45376</v>
      </c>
      <c r="C56" s="1">
        <v>45379</v>
      </c>
      <c r="D56" t="s">
        <v>197</v>
      </c>
      <c r="E56" t="s">
        <v>19</v>
      </c>
      <c r="F56" t="s">
        <v>40</v>
      </c>
      <c r="G56" t="s">
        <v>64</v>
      </c>
      <c r="H56" t="s">
        <v>22</v>
      </c>
      <c r="I56" t="s">
        <v>23</v>
      </c>
      <c r="J56" t="s">
        <v>65</v>
      </c>
      <c r="K56">
        <v>3</v>
      </c>
      <c r="L56">
        <v>216</v>
      </c>
      <c r="M56">
        <v>0</v>
      </c>
      <c r="N56">
        <v>648</v>
      </c>
      <c r="O56">
        <v>116.64</v>
      </c>
      <c r="P56" t="s">
        <v>45</v>
      </c>
      <c r="Q56" t="s">
        <v>46</v>
      </c>
    </row>
    <row r="57" spans="1:17" x14ac:dyDescent="0.35">
      <c r="A57" t="s">
        <v>198</v>
      </c>
      <c r="B57" s="1">
        <v>45377</v>
      </c>
      <c r="C57" s="1">
        <v>45383</v>
      </c>
      <c r="D57" t="s">
        <v>199</v>
      </c>
      <c r="E57" t="s">
        <v>29</v>
      </c>
      <c r="F57" t="s">
        <v>49</v>
      </c>
      <c r="G57" t="s">
        <v>68</v>
      </c>
      <c r="H57" t="s">
        <v>32</v>
      </c>
      <c r="I57" t="s">
        <v>33</v>
      </c>
      <c r="J57" t="s">
        <v>69</v>
      </c>
      <c r="K57">
        <v>6</v>
      </c>
      <c r="L57">
        <v>263</v>
      </c>
      <c r="M57">
        <v>0</v>
      </c>
      <c r="N57">
        <v>1578</v>
      </c>
      <c r="O57">
        <v>457.62</v>
      </c>
      <c r="P57" t="s">
        <v>52</v>
      </c>
      <c r="Q57" t="s">
        <v>53</v>
      </c>
    </row>
    <row r="58" spans="1:17" x14ac:dyDescent="0.35">
      <c r="A58" t="s">
        <v>200</v>
      </c>
      <c r="B58" s="1">
        <v>45379</v>
      </c>
      <c r="C58" s="1">
        <v>45380</v>
      </c>
      <c r="D58" t="s">
        <v>201</v>
      </c>
      <c r="E58" t="s">
        <v>39</v>
      </c>
      <c r="F58" t="s">
        <v>20</v>
      </c>
      <c r="G58" t="s">
        <v>21</v>
      </c>
      <c r="H58" t="s">
        <v>42</v>
      </c>
      <c r="I58" t="s">
        <v>43</v>
      </c>
      <c r="J58" t="s">
        <v>72</v>
      </c>
      <c r="K58">
        <v>1</v>
      </c>
      <c r="L58">
        <v>310</v>
      </c>
      <c r="M58">
        <v>0.05</v>
      </c>
      <c r="N58">
        <v>294.5</v>
      </c>
      <c r="O58">
        <v>64.5</v>
      </c>
      <c r="P58" t="s">
        <v>25</v>
      </c>
      <c r="Q58" t="s">
        <v>26</v>
      </c>
    </row>
    <row r="59" spans="1:17" x14ac:dyDescent="0.35">
      <c r="A59" t="s">
        <v>202</v>
      </c>
      <c r="B59" s="1">
        <v>45380</v>
      </c>
      <c r="C59" s="1">
        <v>45384</v>
      </c>
      <c r="D59" t="s">
        <v>203</v>
      </c>
      <c r="E59" t="s">
        <v>19</v>
      </c>
      <c r="F59" t="s">
        <v>30</v>
      </c>
      <c r="G59" t="s">
        <v>31</v>
      </c>
      <c r="H59" t="s">
        <v>22</v>
      </c>
      <c r="I59" t="s">
        <v>23</v>
      </c>
      <c r="J59" t="s">
        <v>147</v>
      </c>
      <c r="K59">
        <v>4</v>
      </c>
      <c r="L59">
        <v>357</v>
      </c>
      <c r="M59">
        <v>0.1</v>
      </c>
      <c r="N59">
        <v>1285.2</v>
      </c>
      <c r="O59">
        <v>-208.2</v>
      </c>
      <c r="P59" t="s">
        <v>35</v>
      </c>
      <c r="Q59" t="s">
        <v>36</v>
      </c>
    </row>
    <row r="60" spans="1:17" x14ac:dyDescent="0.35">
      <c r="A60" t="s">
        <v>204</v>
      </c>
      <c r="B60" s="1">
        <v>45382</v>
      </c>
      <c r="C60" s="1">
        <v>45389</v>
      </c>
      <c r="D60" t="s">
        <v>205</v>
      </c>
      <c r="E60" t="s">
        <v>29</v>
      </c>
      <c r="F60" t="s">
        <v>40</v>
      </c>
      <c r="G60" t="s">
        <v>41</v>
      </c>
      <c r="H60" t="s">
        <v>32</v>
      </c>
      <c r="I60" t="s">
        <v>33</v>
      </c>
      <c r="J60" t="s">
        <v>150</v>
      </c>
      <c r="K60">
        <v>7</v>
      </c>
      <c r="L60">
        <v>404</v>
      </c>
      <c r="M60">
        <v>0.15</v>
      </c>
      <c r="N60">
        <v>2403.8000000000002</v>
      </c>
      <c r="O60">
        <v>473.55</v>
      </c>
      <c r="P60" t="s">
        <v>45</v>
      </c>
      <c r="Q60" t="s">
        <v>46</v>
      </c>
    </row>
    <row r="61" spans="1:17" x14ac:dyDescent="0.35">
      <c r="A61" t="s">
        <v>206</v>
      </c>
      <c r="B61" s="1">
        <v>45383</v>
      </c>
      <c r="C61" s="1">
        <v>45385</v>
      </c>
      <c r="D61" t="s">
        <v>207</v>
      </c>
      <c r="E61" t="s">
        <v>39</v>
      </c>
      <c r="F61" t="s">
        <v>49</v>
      </c>
      <c r="G61" t="s">
        <v>50</v>
      </c>
      <c r="H61" t="s">
        <v>42</v>
      </c>
      <c r="I61" t="s">
        <v>43</v>
      </c>
      <c r="J61" t="s">
        <v>153</v>
      </c>
      <c r="K61">
        <v>2</v>
      </c>
      <c r="L61">
        <v>451</v>
      </c>
      <c r="M61">
        <v>0.2</v>
      </c>
      <c r="N61">
        <v>721.6</v>
      </c>
      <c r="O61">
        <v>90.92</v>
      </c>
      <c r="P61" t="s">
        <v>52</v>
      </c>
      <c r="Q61" t="s">
        <v>53</v>
      </c>
    </row>
    <row r="62" spans="1:17" x14ac:dyDescent="0.35">
      <c r="A62" t="s">
        <v>208</v>
      </c>
      <c r="B62" s="1">
        <v>45385</v>
      </c>
      <c r="C62" s="1">
        <v>45390</v>
      </c>
      <c r="D62" t="s">
        <v>209</v>
      </c>
      <c r="E62" t="s">
        <v>19</v>
      </c>
      <c r="F62" t="s">
        <v>20</v>
      </c>
      <c r="G62" t="s">
        <v>56</v>
      </c>
      <c r="H62" t="s">
        <v>22</v>
      </c>
      <c r="I62" t="s">
        <v>23</v>
      </c>
      <c r="J62" t="s">
        <v>24</v>
      </c>
      <c r="K62">
        <v>5</v>
      </c>
      <c r="L62">
        <v>498</v>
      </c>
      <c r="M62">
        <v>0</v>
      </c>
      <c r="N62">
        <v>2490</v>
      </c>
      <c r="O62">
        <v>448.2</v>
      </c>
      <c r="P62" t="s">
        <v>25</v>
      </c>
      <c r="Q62" t="s">
        <v>26</v>
      </c>
    </row>
    <row r="63" spans="1:17" x14ac:dyDescent="0.35">
      <c r="A63" t="s">
        <v>210</v>
      </c>
      <c r="B63" s="1">
        <v>45386</v>
      </c>
      <c r="C63" s="1">
        <v>45394</v>
      </c>
      <c r="D63" t="s">
        <v>211</v>
      </c>
      <c r="E63" t="s">
        <v>29</v>
      </c>
      <c r="F63" t="s">
        <v>30</v>
      </c>
      <c r="G63" t="s">
        <v>60</v>
      </c>
      <c r="H63" t="s">
        <v>32</v>
      </c>
      <c r="I63" t="s">
        <v>33</v>
      </c>
      <c r="J63" t="s">
        <v>34</v>
      </c>
      <c r="K63">
        <v>8</v>
      </c>
      <c r="L63">
        <v>545</v>
      </c>
      <c r="M63">
        <v>0</v>
      </c>
      <c r="N63">
        <v>4360</v>
      </c>
      <c r="O63">
        <v>1264.4000000000001</v>
      </c>
      <c r="P63" t="s">
        <v>35</v>
      </c>
      <c r="Q63" t="s">
        <v>36</v>
      </c>
    </row>
    <row r="64" spans="1:17" x14ac:dyDescent="0.35">
      <c r="A64" t="s">
        <v>212</v>
      </c>
      <c r="B64" s="1">
        <v>45388</v>
      </c>
      <c r="C64" s="1">
        <v>45391</v>
      </c>
      <c r="D64" t="s">
        <v>213</v>
      </c>
      <c r="E64" t="s">
        <v>39</v>
      </c>
      <c r="F64" t="s">
        <v>40</v>
      </c>
      <c r="G64" t="s">
        <v>64</v>
      </c>
      <c r="H64" t="s">
        <v>42</v>
      </c>
      <c r="I64" t="s">
        <v>43</v>
      </c>
      <c r="J64" t="s">
        <v>44</v>
      </c>
      <c r="K64">
        <v>3</v>
      </c>
      <c r="L64">
        <v>592</v>
      </c>
      <c r="M64">
        <v>0.05</v>
      </c>
      <c r="N64">
        <v>1687.2</v>
      </c>
      <c r="O64">
        <v>369.5</v>
      </c>
      <c r="P64" t="s">
        <v>45</v>
      </c>
      <c r="Q64" t="s">
        <v>46</v>
      </c>
    </row>
    <row r="65" spans="1:17" x14ac:dyDescent="0.35">
      <c r="A65" t="s">
        <v>214</v>
      </c>
      <c r="B65" s="1">
        <v>45389</v>
      </c>
      <c r="C65" s="1">
        <v>45395</v>
      </c>
      <c r="D65" t="s">
        <v>215</v>
      </c>
      <c r="E65" t="s">
        <v>19</v>
      </c>
      <c r="F65" t="s">
        <v>49</v>
      </c>
      <c r="G65" t="s">
        <v>68</v>
      </c>
      <c r="H65" t="s">
        <v>22</v>
      </c>
      <c r="I65" t="s">
        <v>75</v>
      </c>
      <c r="J65" t="s">
        <v>96</v>
      </c>
      <c r="K65">
        <v>6</v>
      </c>
      <c r="L65">
        <v>639</v>
      </c>
      <c r="M65">
        <v>0.1</v>
      </c>
      <c r="N65">
        <v>3450.6</v>
      </c>
      <c r="O65">
        <v>407.17</v>
      </c>
      <c r="P65" t="s">
        <v>52</v>
      </c>
      <c r="Q65" t="s">
        <v>53</v>
      </c>
    </row>
    <row r="66" spans="1:17" x14ac:dyDescent="0.35">
      <c r="A66" t="s">
        <v>216</v>
      </c>
      <c r="B66" s="1">
        <v>45391</v>
      </c>
      <c r="C66" s="1">
        <v>45392</v>
      </c>
      <c r="D66" t="s">
        <v>217</v>
      </c>
      <c r="E66" t="s">
        <v>29</v>
      </c>
      <c r="F66" t="s">
        <v>20</v>
      </c>
      <c r="G66" t="s">
        <v>21</v>
      </c>
      <c r="H66" t="s">
        <v>32</v>
      </c>
      <c r="I66" t="s">
        <v>79</v>
      </c>
      <c r="J66" t="s">
        <v>99</v>
      </c>
      <c r="K66">
        <v>1</v>
      </c>
      <c r="L66">
        <v>686</v>
      </c>
      <c r="M66">
        <v>0.15</v>
      </c>
      <c r="N66">
        <v>583.1</v>
      </c>
      <c r="O66">
        <v>114.87</v>
      </c>
      <c r="P66" t="s">
        <v>25</v>
      </c>
      <c r="Q66" t="s">
        <v>26</v>
      </c>
    </row>
    <row r="67" spans="1:17" x14ac:dyDescent="0.35">
      <c r="A67" t="s">
        <v>218</v>
      </c>
      <c r="B67" s="1">
        <v>45392</v>
      </c>
      <c r="C67" s="1">
        <v>45396</v>
      </c>
      <c r="D67" t="s">
        <v>219</v>
      </c>
      <c r="E67" t="s">
        <v>39</v>
      </c>
      <c r="F67" t="s">
        <v>30</v>
      </c>
      <c r="G67" t="s">
        <v>31</v>
      </c>
      <c r="H67" t="s">
        <v>42</v>
      </c>
      <c r="I67" t="s">
        <v>83</v>
      </c>
      <c r="J67" t="s">
        <v>102</v>
      </c>
      <c r="K67">
        <v>4</v>
      </c>
      <c r="L67">
        <v>733</v>
      </c>
      <c r="M67">
        <v>0.2</v>
      </c>
      <c r="N67">
        <v>2345.6</v>
      </c>
      <c r="O67">
        <v>295.55</v>
      </c>
      <c r="P67" t="s">
        <v>35</v>
      </c>
      <c r="Q67" t="s">
        <v>36</v>
      </c>
    </row>
    <row r="68" spans="1:17" x14ac:dyDescent="0.35">
      <c r="A68" t="s">
        <v>220</v>
      </c>
      <c r="B68" s="1">
        <v>45394</v>
      </c>
      <c r="C68" s="1">
        <v>45401</v>
      </c>
      <c r="D68" t="s">
        <v>221</v>
      </c>
      <c r="E68" t="s">
        <v>19</v>
      </c>
      <c r="F68" t="s">
        <v>40</v>
      </c>
      <c r="G68" t="s">
        <v>41</v>
      </c>
      <c r="H68" t="s">
        <v>22</v>
      </c>
      <c r="I68" t="s">
        <v>75</v>
      </c>
      <c r="J68" t="s">
        <v>168</v>
      </c>
      <c r="K68">
        <v>7</v>
      </c>
      <c r="L68">
        <v>780</v>
      </c>
      <c r="M68">
        <v>0</v>
      </c>
      <c r="N68">
        <v>5460</v>
      </c>
      <c r="O68">
        <v>982.8</v>
      </c>
      <c r="P68" t="s">
        <v>45</v>
      </c>
      <c r="Q68" t="s">
        <v>46</v>
      </c>
    </row>
    <row r="69" spans="1:17" x14ac:dyDescent="0.35">
      <c r="A69" t="s">
        <v>222</v>
      </c>
      <c r="B69" s="1">
        <v>45395</v>
      </c>
      <c r="C69" s="1">
        <v>45397</v>
      </c>
      <c r="D69" t="s">
        <v>223</v>
      </c>
      <c r="E69" t="s">
        <v>29</v>
      </c>
      <c r="F69" t="s">
        <v>49</v>
      </c>
      <c r="G69" t="s">
        <v>50</v>
      </c>
      <c r="H69" t="s">
        <v>32</v>
      </c>
      <c r="I69" t="s">
        <v>79</v>
      </c>
      <c r="J69" t="s">
        <v>171</v>
      </c>
      <c r="K69">
        <v>2</v>
      </c>
      <c r="L69">
        <v>47</v>
      </c>
      <c r="M69">
        <v>0</v>
      </c>
      <c r="N69">
        <v>94</v>
      </c>
      <c r="O69">
        <v>27.26</v>
      </c>
      <c r="P69" t="s">
        <v>52</v>
      </c>
      <c r="Q69" t="s">
        <v>53</v>
      </c>
    </row>
    <row r="70" spans="1:17" x14ac:dyDescent="0.35">
      <c r="A70" t="s">
        <v>224</v>
      </c>
      <c r="B70" s="1">
        <v>45397</v>
      </c>
      <c r="C70" s="1">
        <v>45402</v>
      </c>
      <c r="D70" t="s">
        <v>225</v>
      </c>
      <c r="E70" t="s">
        <v>39</v>
      </c>
      <c r="F70" t="s">
        <v>20</v>
      </c>
      <c r="G70" t="s">
        <v>56</v>
      </c>
      <c r="H70" t="s">
        <v>42</v>
      </c>
      <c r="I70" t="s">
        <v>83</v>
      </c>
      <c r="J70" t="s">
        <v>174</v>
      </c>
      <c r="K70">
        <v>5</v>
      </c>
      <c r="L70">
        <v>94</v>
      </c>
      <c r="M70">
        <v>0.05</v>
      </c>
      <c r="N70">
        <v>446.5</v>
      </c>
      <c r="O70">
        <v>97.78</v>
      </c>
      <c r="P70" t="s">
        <v>25</v>
      </c>
      <c r="Q70" t="s">
        <v>26</v>
      </c>
    </row>
    <row r="71" spans="1:17" x14ac:dyDescent="0.35">
      <c r="A71" t="s">
        <v>226</v>
      </c>
      <c r="B71" s="1">
        <v>45398</v>
      </c>
      <c r="C71" s="1">
        <v>45406</v>
      </c>
      <c r="D71" t="s">
        <v>227</v>
      </c>
      <c r="E71" t="s">
        <v>19</v>
      </c>
      <c r="F71" t="s">
        <v>30</v>
      </c>
      <c r="G71" t="s">
        <v>60</v>
      </c>
      <c r="H71" t="s">
        <v>22</v>
      </c>
      <c r="I71" t="s">
        <v>75</v>
      </c>
      <c r="J71" t="s">
        <v>76</v>
      </c>
      <c r="K71">
        <v>8</v>
      </c>
      <c r="L71">
        <v>141</v>
      </c>
      <c r="M71">
        <v>0.1</v>
      </c>
      <c r="N71">
        <v>1015.2</v>
      </c>
      <c r="O71">
        <v>119.79</v>
      </c>
      <c r="P71" t="s">
        <v>35</v>
      </c>
      <c r="Q71" t="s">
        <v>36</v>
      </c>
    </row>
    <row r="72" spans="1:17" x14ac:dyDescent="0.35">
      <c r="A72" t="s">
        <v>228</v>
      </c>
      <c r="B72" s="1">
        <v>45400</v>
      </c>
      <c r="C72" s="1">
        <v>45403</v>
      </c>
      <c r="D72" t="s">
        <v>229</v>
      </c>
      <c r="E72" t="s">
        <v>29</v>
      </c>
      <c r="F72" t="s">
        <v>40</v>
      </c>
      <c r="G72" t="s">
        <v>64</v>
      </c>
      <c r="H72" t="s">
        <v>32</v>
      </c>
      <c r="I72" t="s">
        <v>79</v>
      </c>
      <c r="J72" t="s">
        <v>80</v>
      </c>
      <c r="K72">
        <v>3</v>
      </c>
      <c r="L72">
        <v>188</v>
      </c>
      <c r="M72">
        <v>0.15</v>
      </c>
      <c r="N72">
        <v>479.4</v>
      </c>
      <c r="O72">
        <v>94.44</v>
      </c>
      <c r="P72" t="s">
        <v>45</v>
      </c>
      <c r="Q72" t="s">
        <v>46</v>
      </c>
    </row>
    <row r="73" spans="1:17" x14ac:dyDescent="0.35">
      <c r="A73" t="s">
        <v>230</v>
      </c>
      <c r="B73" s="1">
        <v>45401</v>
      </c>
      <c r="C73" s="1">
        <v>45407</v>
      </c>
      <c r="D73" t="s">
        <v>231</v>
      </c>
      <c r="E73" t="s">
        <v>39</v>
      </c>
      <c r="F73" t="s">
        <v>49</v>
      </c>
      <c r="G73" t="s">
        <v>68</v>
      </c>
      <c r="H73" t="s">
        <v>42</v>
      </c>
      <c r="I73" t="s">
        <v>83</v>
      </c>
      <c r="J73" t="s">
        <v>84</v>
      </c>
      <c r="K73">
        <v>6</v>
      </c>
      <c r="L73">
        <v>235</v>
      </c>
      <c r="M73">
        <v>0.2</v>
      </c>
      <c r="N73">
        <v>1128</v>
      </c>
      <c r="O73">
        <v>142.13</v>
      </c>
      <c r="P73" t="s">
        <v>52</v>
      </c>
      <c r="Q73" t="s">
        <v>53</v>
      </c>
    </row>
    <row r="74" spans="1:17" x14ac:dyDescent="0.35">
      <c r="A74" t="s">
        <v>232</v>
      </c>
      <c r="B74" s="1">
        <v>45403</v>
      </c>
      <c r="C74" s="1">
        <v>45404</v>
      </c>
      <c r="D74" t="s">
        <v>233</v>
      </c>
      <c r="E74" t="s">
        <v>19</v>
      </c>
      <c r="F74" t="s">
        <v>20</v>
      </c>
      <c r="G74" t="s">
        <v>21</v>
      </c>
      <c r="H74" t="s">
        <v>22</v>
      </c>
      <c r="I74" t="s">
        <v>105</v>
      </c>
      <c r="J74" t="s">
        <v>126</v>
      </c>
      <c r="K74">
        <v>1</v>
      </c>
      <c r="L74">
        <v>282</v>
      </c>
      <c r="M74">
        <v>0</v>
      </c>
      <c r="N74">
        <v>282</v>
      </c>
      <c r="O74">
        <v>50.76</v>
      </c>
      <c r="P74" t="s">
        <v>25</v>
      </c>
      <c r="Q74" t="s">
        <v>26</v>
      </c>
    </row>
    <row r="75" spans="1:17" x14ac:dyDescent="0.35">
      <c r="A75" t="s">
        <v>234</v>
      </c>
      <c r="B75" s="1">
        <v>45404</v>
      </c>
      <c r="C75" s="1">
        <v>45408</v>
      </c>
      <c r="D75" t="s">
        <v>235</v>
      </c>
      <c r="E75" t="s">
        <v>29</v>
      </c>
      <c r="F75" t="s">
        <v>30</v>
      </c>
      <c r="G75" t="s">
        <v>31</v>
      </c>
      <c r="H75" t="s">
        <v>32</v>
      </c>
      <c r="I75" t="s">
        <v>109</v>
      </c>
      <c r="J75" t="s">
        <v>129</v>
      </c>
      <c r="K75">
        <v>4</v>
      </c>
      <c r="L75">
        <v>329</v>
      </c>
      <c r="M75">
        <v>0</v>
      </c>
      <c r="N75">
        <v>1316</v>
      </c>
      <c r="O75">
        <v>381.64</v>
      </c>
      <c r="P75" t="s">
        <v>35</v>
      </c>
      <c r="Q75" t="s">
        <v>36</v>
      </c>
    </row>
    <row r="76" spans="1:17" x14ac:dyDescent="0.35">
      <c r="A76" t="s">
        <v>236</v>
      </c>
      <c r="B76" s="1">
        <v>45406</v>
      </c>
      <c r="C76" s="1">
        <v>45413</v>
      </c>
      <c r="D76" t="s">
        <v>237</v>
      </c>
      <c r="E76" t="s">
        <v>39</v>
      </c>
      <c r="F76" t="s">
        <v>40</v>
      </c>
      <c r="G76" t="s">
        <v>41</v>
      </c>
      <c r="H76" t="s">
        <v>42</v>
      </c>
      <c r="I76" t="s">
        <v>113</v>
      </c>
      <c r="J76" t="s">
        <v>132</v>
      </c>
      <c r="K76">
        <v>7</v>
      </c>
      <c r="L76">
        <v>376</v>
      </c>
      <c r="M76">
        <v>0.05</v>
      </c>
      <c r="N76">
        <v>2500.4</v>
      </c>
      <c r="O76">
        <v>547.59</v>
      </c>
      <c r="P76" t="s">
        <v>45</v>
      </c>
      <c r="Q76" t="s">
        <v>46</v>
      </c>
    </row>
    <row r="77" spans="1:17" x14ac:dyDescent="0.35">
      <c r="A77" t="s">
        <v>238</v>
      </c>
      <c r="B77" s="1">
        <v>45407</v>
      </c>
      <c r="C77" s="1">
        <v>45409</v>
      </c>
      <c r="D77" t="s">
        <v>239</v>
      </c>
      <c r="E77" t="s">
        <v>19</v>
      </c>
      <c r="F77" t="s">
        <v>49</v>
      </c>
      <c r="G77" t="s">
        <v>50</v>
      </c>
      <c r="H77" t="s">
        <v>22</v>
      </c>
      <c r="I77" t="s">
        <v>105</v>
      </c>
      <c r="J77" t="s">
        <v>189</v>
      </c>
      <c r="K77">
        <v>2</v>
      </c>
      <c r="L77">
        <v>423</v>
      </c>
      <c r="M77">
        <v>0.1</v>
      </c>
      <c r="N77">
        <v>761.4</v>
      </c>
      <c r="O77">
        <v>89.85</v>
      </c>
      <c r="P77" t="s">
        <v>52</v>
      </c>
      <c r="Q77" t="s">
        <v>53</v>
      </c>
    </row>
    <row r="78" spans="1:17" x14ac:dyDescent="0.35">
      <c r="A78" t="s">
        <v>240</v>
      </c>
      <c r="B78" s="1">
        <v>45409</v>
      </c>
      <c r="C78" s="1">
        <v>45414</v>
      </c>
      <c r="D78" t="s">
        <v>241</v>
      </c>
      <c r="E78" t="s">
        <v>29</v>
      </c>
      <c r="F78" t="s">
        <v>20</v>
      </c>
      <c r="G78" t="s">
        <v>56</v>
      </c>
      <c r="H78" t="s">
        <v>32</v>
      </c>
      <c r="I78" t="s">
        <v>109</v>
      </c>
      <c r="J78" t="s">
        <v>192</v>
      </c>
      <c r="K78">
        <v>5</v>
      </c>
      <c r="L78">
        <v>470</v>
      </c>
      <c r="M78">
        <v>0.15</v>
      </c>
      <c r="N78">
        <v>1997.5</v>
      </c>
      <c r="O78">
        <v>-165.79</v>
      </c>
      <c r="P78" t="s">
        <v>25</v>
      </c>
      <c r="Q78" t="s">
        <v>26</v>
      </c>
    </row>
    <row r="79" spans="1:17" x14ac:dyDescent="0.35">
      <c r="A79" t="s">
        <v>242</v>
      </c>
      <c r="B79" s="1">
        <v>45411</v>
      </c>
      <c r="C79" s="1">
        <v>45419</v>
      </c>
      <c r="D79" t="s">
        <v>243</v>
      </c>
      <c r="E79" t="s">
        <v>39</v>
      </c>
      <c r="F79" t="s">
        <v>30</v>
      </c>
      <c r="G79" t="s">
        <v>60</v>
      </c>
      <c r="H79" t="s">
        <v>42</v>
      </c>
      <c r="I79" t="s">
        <v>113</v>
      </c>
      <c r="J79" t="s">
        <v>195</v>
      </c>
      <c r="K79">
        <v>8</v>
      </c>
      <c r="L79">
        <v>517</v>
      </c>
      <c r="M79">
        <v>0.2</v>
      </c>
      <c r="N79">
        <v>3308.8</v>
      </c>
      <c r="O79">
        <v>416.91</v>
      </c>
      <c r="P79" t="s">
        <v>35</v>
      </c>
      <c r="Q79" t="s">
        <v>36</v>
      </c>
    </row>
    <row r="80" spans="1:17" x14ac:dyDescent="0.35">
      <c r="A80" t="s">
        <v>244</v>
      </c>
      <c r="B80" s="1">
        <v>45412</v>
      </c>
      <c r="C80" s="1">
        <v>45415</v>
      </c>
      <c r="D80" t="s">
        <v>245</v>
      </c>
      <c r="E80" t="s">
        <v>19</v>
      </c>
      <c r="F80" t="s">
        <v>40</v>
      </c>
      <c r="G80" t="s">
        <v>64</v>
      </c>
      <c r="H80" t="s">
        <v>22</v>
      </c>
      <c r="I80" t="s">
        <v>105</v>
      </c>
      <c r="J80" t="s">
        <v>106</v>
      </c>
      <c r="K80">
        <v>3</v>
      </c>
      <c r="L80">
        <v>564</v>
      </c>
      <c r="M80">
        <v>0</v>
      </c>
      <c r="N80">
        <v>1692</v>
      </c>
      <c r="O80">
        <v>304.56</v>
      </c>
      <c r="P80" t="s">
        <v>45</v>
      </c>
      <c r="Q80" t="s">
        <v>46</v>
      </c>
    </row>
    <row r="81" spans="1:17" x14ac:dyDescent="0.35">
      <c r="A81" t="s">
        <v>246</v>
      </c>
      <c r="B81" s="1">
        <v>45414</v>
      </c>
      <c r="C81" s="1">
        <v>45420</v>
      </c>
      <c r="D81" t="s">
        <v>247</v>
      </c>
      <c r="E81" t="s">
        <v>29</v>
      </c>
      <c r="F81" t="s">
        <v>49</v>
      </c>
      <c r="G81" t="s">
        <v>68</v>
      </c>
      <c r="H81" t="s">
        <v>32</v>
      </c>
      <c r="I81" t="s">
        <v>109</v>
      </c>
      <c r="J81" t="s">
        <v>110</v>
      </c>
      <c r="K81">
        <v>6</v>
      </c>
      <c r="L81">
        <v>611</v>
      </c>
      <c r="M81">
        <v>0</v>
      </c>
      <c r="N81">
        <v>3666</v>
      </c>
      <c r="O81">
        <v>1063.1400000000001</v>
      </c>
      <c r="P81" t="s">
        <v>52</v>
      </c>
      <c r="Q81" t="s">
        <v>53</v>
      </c>
    </row>
    <row r="82" spans="1:17" x14ac:dyDescent="0.35">
      <c r="A82" t="s">
        <v>248</v>
      </c>
      <c r="B82" s="1">
        <v>45415</v>
      </c>
      <c r="C82" s="1">
        <v>45416</v>
      </c>
      <c r="D82" t="s">
        <v>249</v>
      </c>
      <c r="E82" t="s">
        <v>39</v>
      </c>
      <c r="F82" t="s">
        <v>20</v>
      </c>
      <c r="G82" t="s">
        <v>21</v>
      </c>
      <c r="H82" t="s">
        <v>42</v>
      </c>
      <c r="I82" t="s">
        <v>113</v>
      </c>
      <c r="J82" t="s">
        <v>114</v>
      </c>
      <c r="K82">
        <v>1</v>
      </c>
      <c r="L82">
        <v>658</v>
      </c>
      <c r="M82">
        <v>0.05</v>
      </c>
      <c r="N82">
        <v>625.1</v>
      </c>
      <c r="O82">
        <v>136.9</v>
      </c>
      <c r="P82" t="s">
        <v>25</v>
      </c>
      <c r="Q82" t="s">
        <v>26</v>
      </c>
    </row>
    <row r="83" spans="1:17" x14ac:dyDescent="0.35">
      <c r="A83" t="s">
        <v>250</v>
      </c>
      <c r="B83" s="1">
        <v>45417</v>
      </c>
      <c r="C83" s="1">
        <v>45421</v>
      </c>
      <c r="D83" t="s">
        <v>251</v>
      </c>
      <c r="E83" t="s">
        <v>19</v>
      </c>
      <c r="F83" t="s">
        <v>30</v>
      </c>
      <c r="G83" t="s">
        <v>31</v>
      </c>
      <c r="H83" t="s">
        <v>22</v>
      </c>
      <c r="I83" t="s">
        <v>23</v>
      </c>
      <c r="J83" t="s">
        <v>147</v>
      </c>
      <c r="K83">
        <v>4</v>
      </c>
      <c r="L83">
        <v>705</v>
      </c>
      <c r="M83">
        <v>0.1</v>
      </c>
      <c r="N83">
        <v>2538</v>
      </c>
      <c r="O83">
        <v>299.48</v>
      </c>
      <c r="P83" t="s">
        <v>35</v>
      </c>
      <c r="Q83" t="s">
        <v>36</v>
      </c>
    </row>
    <row r="84" spans="1:17" x14ac:dyDescent="0.35">
      <c r="A84" t="s">
        <v>252</v>
      </c>
      <c r="B84" s="1">
        <v>45418</v>
      </c>
      <c r="C84" s="1">
        <v>45425</v>
      </c>
      <c r="D84" t="s">
        <v>253</v>
      </c>
      <c r="E84" t="s">
        <v>29</v>
      </c>
      <c r="F84" t="s">
        <v>40</v>
      </c>
      <c r="G84" t="s">
        <v>41</v>
      </c>
      <c r="H84" t="s">
        <v>32</v>
      </c>
      <c r="I84" t="s">
        <v>33</v>
      </c>
      <c r="J84" t="s">
        <v>150</v>
      </c>
      <c r="K84">
        <v>7</v>
      </c>
      <c r="L84">
        <v>752</v>
      </c>
      <c r="M84">
        <v>0.15</v>
      </c>
      <c r="N84">
        <v>4474.3999999999996</v>
      </c>
      <c r="O84">
        <v>881.46</v>
      </c>
      <c r="P84" t="s">
        <v>45</v>
      </c>
      <c r="Q84" t="s">
        <v>46</v>
      </c>
    </row>
    <row r="85" spans="1:17" x14ac:dyDescent="0.35">
      <c r="A85" t="s">
        <v>254</v>
      </c>
      <c r="B85" s="1">
        <v>45420</v>
      </c>
      <c r="C85" s="1">
        <v>45422</v>
      </c>
      <c r="D85" t="s">
        <v>255</v>
      </c>
      <c r="E85" t="s">
        <v>39</v>
      </c>
      <c r="F85" t="s">
        <v>49</v>
      </c>
      <c r="G85" t="s">
        <v>50</v>
      </c>
      <c r="H85" t="s">
        <v>42</v>
      </c>
      <c r="I85" t="s">
        <v>43</v>
      </c>
      <c r="J85" t="s">
        <v>153</v>
      </c>
      <c r="K85">
        <v>2</v>
      </c>
      <c r="L85">
        <v>19</v>
      </c>
      <c r="M85">
        <v>0.2</v>
      </c>
      <c r="N85">
        <v>30.4</v>
      </c>
      <c r="O85">
        <v>3.83</v>
      </c>
      <c r="P85" t="s">
        <v>52</v>
      </c>
      <c r="Q85" t="s">
        <v>53</v>
      </c>
    </row>
    <row r="86" spans="1:17" x14ac:dyDescent="0.35">
      <c r="A86" t="s">
        <v>256</v>
      </c>
      <c r="B86" s="1">
        <v>45421</v>
      </c>
      <c r="C86" s="1">
        <v>45426</v>
      </c>
      <c r="D86" t="s">
        <v>257</v>
      </c>
      <c r="E86" t="s">
        <v>19</v>
      </c>
      <c r="F86" t="s">
        <v>20</v>
      </c>
      <c r="G86" t="s">
        <v>56</v>
      </c>
      <c r="H86" t="s">
        <v>22</v>
      </c>
      <c r="I86" t="s">
        <v>23</v>
      </c>
      <c r="J86" t="s">
        <v>24</v>
      </c>
      <c r="K86">
        <v>5</v>
      </c>
      <c r="L86">
        <v>66</v>
      </c>
      <c r="M86">
        <v>0</v>
      </c>
      <c r="N86">
        <v>330</v>
      </c>
      <c r="O86">
        <v>59.4</v>
      </c>
      <c r="P86" t="s">
        <v>25</v>
      </c>
      <c r="Q86" t="s">
        <v>26</v>
      </c>
    </row>
    <row r="87" spans="1:17" x14ac:dyDescent="0.35">
      <c r="A87" t="s">
        <v>258</v>
      </c>
      <c r="B87" s="1">
        <v>45423</v>
      </c>
      <c r="C87" s="1">
        <v>45431</v>
      </c>
      <c r="D87" t="s">
        <v>259</v>
      </c>
      <c r="E87" t="s">
        <v>29</v>
      </c>
      <c r="F87" t="s">
        <v>30</v>
      </c>
      <c r="G87" t="s">
        <v>60</v>
      </c>
      <c r="H87" t="s">
        <v>32</v>
      </c>
      <c r="I87" t="s">
        <v>33</v>
      </c>
      <c r="J87" t="s">
        <v>34</v>
      </c>
      <c r="K87">
        <v>8</v>
      </c>
      <c r="L87">
        <v>113</v>
      </c>
      <c r="M87">
        <v>0</v>
      </c>
      <c r="N87">
        <v>904</v>
      </c>
      <c r="O87">
        <v>262.16000000000003</v>
      </c>
      <c r="P87" t="s">
        <v>35</v>
      </c>
      <c r="Q87" t="s">
        <v>36</v>
      </c>
    </row>
    <row r="88" spans="1:17" x14ac:dyDescent="0.35">
      <c r="A88" t="s">
        <v>260</v>
      </c>
      <c r="B88" s="1">
        <v>45424</v>
      </c>
      <c r="C88" s="1">
        <v>45427</v>
      </c>
      <c r="D88" t="s">
        <v>261</v>
      </c>
      <c r="E88" t="s">
        <v>39</v>
      </c>
      <c r="F88" t="s">
        <v>40</v>
      </c>
      <c r="G88" t="s">
        <v>64</v>
      </c>
      <c r="H88" t="s">
        <v>42</v>
      </c>
      <c r="I88" t="s">
        <v>43</v>
      </c>
      <c r="J88" t="s">
        <v>44</v>
      </c>
      <c r="K88">
        <v>3</v>
      </c>
      <c r="L88">
        <v>160</v>
      </c>
      <c r="M88">
        <v>0.05</v>
      </c>
      <c r="N88">
        <v>456</v>
      </c>
      <c r="O88">
        <v>99.86</v>
      </c>
      <c r="P88" t="s">
        <v>45</v>
      </c>
      <c r="Q88" t="s">
        <v>46</v>
      </c>
    </row>
    <row r="89" spans="1:17" x14ac:dyDescent="0.35">
      <c r="A89" t="s">
        <v>262</v>
      </c>
      <c r="B89" s="1">
        <v>45426</v>
      </c>
      <c r="C89" s="1">
        <v>45432</v>
      </c>
      <c r="D89" t="s">
        <v>263</v>
      </c>
      <c r="E89" t="s">
        <v>19</v>
      </c>
      <c r="F89" t="s">
        <v>49</v>
      </c>
      <c r="G89" t="s">
        <v>68</v>
      </c>
      <c r="H89" t="s">
        <v>22</v>
      </c>
      <c r="I89" t="s">
        <v>23</v>
      </c>
      <c r="J89" t="s">
        <v>51</v>
      </c>
      <c r="K89">
        <v>6</v>
      </c>
      <c r="L89">
        <v>207</v>
      </c>
      <c r="M89">
        <v>0.1</v>
      </c>
      <c r="N89">
        <v>1117.8</v>
      </c>
      <c r="O89">
        <v>131.9</v>
      </c>
      <c r="P89" t="s">
        <v>52</v>
      </c>
      <c r="Q89" t="s">
        <v>53</v>
      </c>
    </row>
    <row r="90" spans="1:17" x14ac:dyDescent="0.35">
      <c r="A90" t="s">
        <v>264</v>
      </c>
      <c r="B90" s="1">
        <v>45427</v>
      </c>
      <c r="C90" s="1">
        <v>45428</v>
      </c>
      <c r="D90" t="s">
        <v>265</v>
      </c>
      <c r="E90" t="s">
        <v>29</v>
      </c>
      <c r="F90" t="s">
        <v>20</v>
      </c>
      <c r="G90" t="s">
        <v>21</v>
      </c>
      <c r="H90" t="s">
        <v>32</v>
      </c>
      <c r="I90" t="s">
        <v>33</v>
      </c>
      <c r="J90" t="s">
        <v>57</v>
      </c>
      <c r="K90">
        <v>1</v>
      </c>
      <c r="L90">
        <v>254</v>
      </c>
      <c r="M90">
        <v>0.15</v>
      </c>
      <c r="N90">
        <v>215.9</v>
      </c>
      <c r="O90">
        <v>42.53</v>
      </c>
      <c r="P90" t="s">
        <v>25</v>
      </c>
      <c r="Q90" t="s">
        <v>26</v>
      </c>
    </row>
    <row r="91" spans="1:17" x14ac:dyDescent="0.35">
      <c r="A91" t="s">
        <v>266</v>
      </c>
      <c r="B91" s="1">
        <v>45429</v>
      </c>
      <c r="C91" s="1">
        <v>45433</v>
      </c>
      <c r="D91" t="s">
        <v>267</v>
      </c>
      <c r="E91" t="s">
        <v>39</v>
      </c>
      <c r="F91" t="s">
        <v>30</v>
      </c>
      <c r="G91" t="s">
        <v>31</v>
      </c>
      <c r="H91" t="s">
        <v>42</v>
      </c>
      <c r="I91" t="s">
        <v>43</v>
      </c>
      <c r="J91" t="s">
        <v>61</v>
      </c>
      <c r="K91">
        <v>4</v>
      </c>
      <c r="L91">
        <v>301</v>
      </c>
      <c r="M91">
        <v>0.2</v>
      </c>
      <c r="N91">
        <v>963.2</v>
      </c>
      <c r="O91">
        <v>121.36</v>
      </c>
      <c r="P91" t="s">
        <v>35</v>
      </c>
      <c r="Q91" t="s">
        <v>36</v>
      </c>
    </row>
    <row r="92" spans="1:17" x14ac:dyDescent="0.35">
      <c r="A92" t="s">
        <v>268</v>
      </c>
      <c r="B92" s="1">
        <v>45430</v>
      </c>
      <c r="C92" s="1">
        <v>45437</v>
      </c>
      <c r="D92" t="s">
        <v>269</v>
      </c>
      <c r="E92" t="s">
        <v>19</v>
      </c>
      <c r="F92" t="s">
        <v>40</v>
      </c>
      <c r="G92" t="s">
        <v>41</v>
      </c>
      <c r="H92" t="s">
        <v>22</v>
      </c>
      <c r="I92" t="s">
        <v>75</v>
      </c>
      <c r="J92" t="s">
        <v>168</v>
      </c>
      <c r="K92">
        <v>7</v>
      </c>
      <c r="L92">
        <v>348</v>
      </c>
      <c r="M92">
        <v>0</v>
      </c>
      <c r="N92">
        <v>2436</v>
      </c>
      <c r="O92">
        <v>438.48</v>
      </c>
      <c r="P92" t="s">
        <v>45</v>
      </c>
      <c r="Q92" t="s">
        <v>46</v>
      </c>
    </row>
    <row r="93" spans="1:17" x14ac:dyDescent="0.35">
      <c r="A93" t="s">
        <v>270</v>
      </c>
      <c r="B93" s="1">
        <v>45432</v>
      </c>
      <c r="C93" s="1">
        <v>45434</v>
      </c>
      <c r="D93" t="s">
        <v>271</v>
      </c>
      <c r="E93" t="s">
        <v>29</v>
      </c>
      <c r="F93" t="s">
        <v>49</v>
      </c>
      <c r="G93" t="s">
        <v>50</v>
      </c>
      <c r="H93" t="s">
        <v>32</v>
      </c>
      <c r="I93" t="s">
        <v>79</v>
      </c>
      <c r="J93" t="s">
        <v>171</v>
      </c>
      <c r="K93">
        <v>2</v>
      </c>
      <c r="L93">
        <v>395</v>
      </c>
      <c r="M93">
        <v>0</v>
      </c>
      <c r="N93">
        <v>790</v>
      </c>
      <c r="O93">
        <v>229.1</v>
      </c>
      <c r="P93" t="s">
        <v>52</v>
      </c>
      <c r="Q93" t="s">
        <v>53</v>
      </c>
    </row>
    <row r="94" spans="1:17" x14ac:dyDescent="0.35">
      <c r="A94" t="s">
        <v>272</v>
      </c>
      <c r="B94" s="1">
        <v>45433</v>
      </c>
      <c r="C94" s="1">
        <v>45438</v>
      </c>
      <c r="D94" t="s">
        <v>273</v>
      </c>
      <c r="E94" t="s">
        <v>39</v>
      </c>
      <c r="F94" t="s">
        <v>20</v>
      </c>
      <c r="G94" t="s">
        <v>56</v>
      </c>
      <c r="H94" t="s">
        <v>42</v>
      </c>
      <c r="I94" t="s">
        <v>83</v>
      </c>
      <c r="J94" t="s">
        <v>174</v>
      </c>
      <c r="K94">
        <v>5</v>
      </c>
      <c r="L94">
        <v>442</v>
      </c>
      <c r="M94">
        <v>0.05</v>
      </c>
      <c r="N94">
        <v>2099.5</v>
      </c>
      <c r="O94">
        <v>459.79</v>
      </c>
      <c r="P94" t="s">
        <v>25</v>
      </c>
      <c r="Q94" t="s">
        <v>26</v>
      </c>
    </row>
    <row r="95" spans="1:17" x14ac:dyDescent="0.35">
      <c r="A95" t="s">
        <v>274</v>
      </c>
      <c r="B95" s="1">
        <v>45435</v>
      </c>
      <c r="C95" s="1">
        <v>45443</v>
      </c>
      <c r="D95" t="s">
        <v>275</v>
      </c>
      <c r="E95" t="s">
        <v>19</v>
      </c>
      <c r="F95" t="s">
        <v>30</v>
      </c>
      <c r="G95" t="s">
        <v>60</v>
      </c>
      <c r="H95" t="s">
        <v>22</v>
      </c>
      <c r="I95" t="s">
        <v>75</v>
      </c>
      <c r="J95" t="s">
        <v>76</v>
      </c>
      <c r="K95">
        <v>8</v>
      </c>
      <c r="L95">
        <v>489</v>
      </c>
      <c r="M95">
        <v>0.1</v>
      </c>
      <c r="N95">
        <v>3520.8</v>
      </c>
      <c r="O95">
        <v>415.45</v>
      </c>
      <c r="P95" t="s">
        <v>35</v>
      </c>
      <c r="Q95" t="s">
        <v>36</v>
      </c>
    </row>
    <row r="96" spans="1:17" x14ac:dyDescent="0.35">
      <c r="A96" t="s">
        <v>276</v>
      </c>
      <c r="B96" s="1">
        <v>45436</v>
      </c>
      <c r="C96" s="1">
        <v>45439</v>
      </c>
      <c r="D96" t="s">
        <v>277</v>
      </c>
      <c r="E96" t="s">
        <v>29</v>
      </c>
      <c r="F96" t="s">
        <v>40</v>
      </c>
      <c r="G96" t="s">
        <v>64</v>
      </c>
      <c r="H96" t="s">
        <v>32</v>
      </c>
      <c r="I96" t="s">
        <v>79</v>
      </c>
      <c r="J96" t="s">
        <v>80</v>
      </c>
      <c r="K96">
        <v>3</v>
      </c>
      <c r="L96">
        <v>536</v>
      </c>
      <c r="M96">
        <v>0.15</v>
      </c>
      <c r="N96">
        <v>1366.8</v>
      </c>
      <c r="O96">
        <v>269.26</v>
      </c>
      <c r="P96" t="s">
        <v>45</v>
      </c>
      <c r="Q96" t="s">
        <v>46</v>
      </c>
    </row>
    <row r="97" spans="1:17" x14ac:dyDescent="0.35">
      <c r="A97" t="s">
        <v>278</v>
      </c>
      <c r="B97" s="1">
        <v>45438</v>
      </c>
      <c r="C97" s="1">
        <v>45444</v>
      </c>
      <c r="D97" t="s">
        <v>279</v>
      </c>
      <c r="E97" t="s">
        <v>39</v>
      </c>
      <c r="F97" t="s">
        <v>49</v>
      </c>
      <c r="G97" t="s">
        <v>68</v>
      </c>
      <c r="H97" t="s">
        <v>42</v>
      </c>
      <c r="I97" t="s">
        <v>83</v>
      </c>
      <c r="J97" t="s">
        <v>84</v>
      </c>
      <c r="K97">
        <v>6</v>
      </c>
      <c r="L97">
        <v>583</v>
      </c>
      <c r="M97">
        <v>0.2</v>
      </c>
      <c r="N97">
        <v>2798.4</v>
      </c>
      <c r="O97">
        <v>-430.95</v>
      </c>
      <c r="P97" t="s">
        <v>52</v>
      </c>
      <c r="Q97" t="s">
        <v>53</v>
      </c>
    </row>
    <row r="98" spans="1:17" x14ac:dyDescent="0.35">
      <c r="A98" t="s">
        <v>280</v>
      </c>
      <c r="B98" s="1">
        <v>45439</v>
      </c>
      <c r="C98" s="1">
        <v>45440</v>
      </c>
      <c r="D98" t="s">
        <v>18</v>
      </c>
      <c r="E98" t="s">
        <v>19</v>
      </c>
      <c r="F98" t="s">
        <v>20</v>
      </c>
      <c r="G98" t="s">
        <v>21</v>
      </c>
      <c r="H98" t="s">
        <v>22</v>
      </c>
      <c r="I98" t="s">
        <v>75</v>
      </c>
      <c r="J98" t="s">
        <v>87</v>
      </c>
      <c r="K98">
        <v>1</v>
      </c>
      <c r="L98">
        <v>630</v>
      </c>
      <c r="M98">
        <v>0</v>
      </c>
      <c r="N98">
        <v>630</v>
      </c>
      <c r="O98">
        <v>113.4</v>
      </c>
      <c r="P98" t="s">
        <v>25</v>
      </c>
      <c r="Q98" t="s">
        <v>26</v>
      </c>
    </row>
    <row r="99" spans="1:17" x14ac:dyDescent="0.35">
      <c r="A99" t="s">
        <v>281</v>
      </c>
      <c r="B99" s="1">
        <v>45441</v>
      </c>
      <c r="C99" s="1">
        <v>45445</v>
      </c>
      <c r="D99" t="s">
        <v>28</v>
      </c>
      <c r="E99" t="s">
        <v>29</v>
      </c>
      <c r="F99" t="s">
        <v>30</v>
      </c>
      <c r="G99" t="s">
        <v>31</v>
      </c>
      <c r="H99" t="s">
        <v>32</v>
      </c>
      <c r="I99" t="s">
        <v>79</v>
      </c>
      <c r="J99" t="s">
        <v>90</v>
      </c>
      <c r="K99">
        <v>4</v>
      </c>
      <c r="L99">
        <v>677</v>
      </c>
      <c r="M99">
        <v>0</v>
      </c>
      <c r="N99">
        <v>2708</v>
      </c>
      <c r="O99">
        <v>785.32</v>
      </c>
      <c r="P99" t="s">
        <v>35</v>
      </c>
      <c r="Q99" t="s">
        <v>36</v>
      </c>
    </row>
    <row r="100" spans="1:17" x14ac:dyDescent="0.35">
      <c r="A100" t="s">
        <v>282</v>
      </c>
      <c r="B100" s="1">
        <v>45442</v>
      </c>
      <c r="C100" s="1">
        <v>45449</v>
      </c>
      <c r="D100" t="s">
        <v>38</v>
      </c>
      <c r="E100" t="s">
        <v>39</v>
      </c>
      <c r="F100" t="s">
        <v>40</v>
      </c>
      <c r="G100" t="s">
        <v>41</v>
      </c>
      <c r="H100" t="s">
        <v>42</v>
      </c>
      <c r="I100" t="s">
        <v>83</v>
      </c>
      <c r="J100" t="s">
        <v>93</v>
      </c>
      <c r="K100">
        <v>7</v>
      </c>
      <c r="L100">
        <v>724</v>
      </c>
      <c r="M100">
        <v>0.05</v>
      </c>
      <c r="N100">
        <v>4814.6000000000004</v>
      </c>
      <c r="O100">
        <v>1054.4000000000001</v>
      </c>
      <c r="P100" t="s">
        <v>45</v>
      </c>
      <c r="Q100" t="s">
        <v>46</v>
      </c>
    </row>
    <row r="101" spans="1:17" x14ac:dyDescent="0.35">
      <c r="A101" t="s">
        <v>283</v>
      </c>
      <c r="B101" s="1">
        <v>45444</v>
      </c>
      <c r="C101" s="1">
        <v>45446</v>
      </c>
      <c r="D101" t="s">
        <v>48</v>
      </c>
      <c r="E101" t="s">
        <v>19</v>
      </c>
      <c r="F101" t="s">
        <v>49</v>
      </c>
      <c r="G101" t="s">
        <v>50</v>
      </c>
      <c r="H101" t="s">
        <v>22</v>
      </c>
      <c r="I101" t="s">
        <v>105</v>
      </c>
      <c r="J101" t="s">
        <v>189</v>
      </c>
      <c r="K101">
        <v>2</v>
      </c>
      <c r="L101">
        <v>771</v>
      </c>
      <c r="M101">
        <v>0.1</v>
      </c>
      <c r="N101">
        <v>1387.8</v>
      </c>
      <c r="O101">
        <v>163.76</v>
      </c>
      <c r="P101" t="s">
        <v>52</v>
      </c>
      <c r="Q101" t="s">
        <v>53</v>
      </c>
    </row>
    <row r="102" spans="1:17" x14ac:dyDescent="0.35">
      <c r="A102" t="s">
        <v>284</v>
      </c>
      <c r="B102" s="1">
        <v>45445</v>
      </c>
      <c r="C102" s="1">
        <v>45450</v>
      </c>
      <c r="D102" t="s">
        <v>55</v>
      </c>
      <c r="E102" t="s">
        <v>29</v>
      </c>
      <c r="F102" t="s">
        <v>20</v>
      </c>
      <c r="G102" t="s">
        <v>56</v>
      </c>
      <c r="H102" t="s">
        <v>32</v>
      </c>
      <c r="I102" t="s">
        <v>109</v>
      </c>
      <c r="J102" t="s">
        <v>192</v>
      </c>
      <c r="K102">
        <v>5</v>
      </c>
      <c r="L102">
        <v>38</v>
      </c>
      <c r="M102">
        <v>0.15</v>
      </c>
      <c r="N102">
        <v>161.5</v>
      </c>
      <c r="O102">
        <v>31.82</v>
      </c>
      <c r="P102" t="s">
        <v>25</v>
      </c>
      <c r="Q102" t="s">
        <v>26</v>
      </c>
    </row>
    <row r="103" spans="1:17" x14ac:dyDescent="0.35">
      <c r="A103" t="s">
        <v>285</v>
      </c>
      <c r="B103" s="1">
        <v>45447</v>
      </c>
      <c r="C103" s="1">
        <v>45455</v>
      </c>
      <c r="D103" t="s">
        <v>59</v>
      </c>
      <c r="E103" t="s">
        <v>39</v>
      </c>
      <c r="F103" t="s">
        <v>30</v>
      </c>
      <c r="G103" t="s">
        <v>60</v>
      </c>
      <c r="H103" t="s">
        <v>42</v>
      </c>
      <c r="I103" t="s">
        <v>113</v>
      </c>
      <c r="J103" t="s">
        <v>195</v>
      </c>
      <c r="K103">
        <v>8</v>
      </c>
      <c r="L103">
        <v>85</v>
      </c>
      <c r="M103">
        <v>0.2</v>
      </c>
      <c r="N103">
        <v>544</v>
      </c>
      <c r="O103">
        <v>68.540000000000006</v>
      </c>
      <c r="P103" t="s">
        <v>35</v>
      </c>
      <c r="Q103" t="s">
        <v>36</v>
      </c>
    </row>
    <row r="104" spans="1:17" x14ac:dyDescent="0.35">
      <c r="A104" t="s">
        <v>286</v>
      </c>
      <c r="B104" s="1">
        <v>45449</v>
      </c>
      <c r="C104" s="1">
        <v>45452</v>
      </c>
      <c r="D104" t="s">
        <v>63</v>
      </c>
      <c r="E104" t="s">
        <v>19</v>
      </c>
      <c r="F104" t="s">
        <v>40</v>
      </c>
      <c r="G104" t="s">
        <v>64</v>
      </c>
      <c r="H104" t="s">
        <v>22</v>
      </c>
      <c r="I104" t="s">
        <v>105</v>
      </c>
      <c r="J104" t="s">
        <v>106</v>
      </c>
      <c r="K104">
        <v>3</v>
      </c>
      <c r="L104">
        <v>132</v>
      </c>
      <c r="M104">
        <v>0</v>
      </c>
      <c r="N104">
        <v>396</v>
      </c>
      <c r="O104">
        <v>71.28</v>
      </c>
      <c r="P104" t="s">
        <v>45</v>
      </c>
      <c r="Q104" t="s">
        <v>46</v>
      </c>
    </row>
    <row r="105" spans="1:17" x14ac:dyDescent="0.35">
      <c r="A105" t="s">
        <v>287</v>
      </c>
      <c r="B105" s="1">
        <v>45450</v>
      </c>
      <c r="C105" s="1">
        <v>45456</v>
      </c>
      <c r="D105" t="s">
        <v>67</v>
      </c>
      <c r="E105" t="s">
        <v>29</v>
      </c>
      <c r="F105" t="s">
        <v>49</v>
      </c>
      <c r="G105" t="s">
        <v>68</v>
      </c>
      <c r="H105" t="s">
        <v>32</v>
      </c>
      <c r="I105" t="s">
        <v>109</v>
      </c>
      <c r="J105" t="s">
        <v>110</v>
      </c>
      <c r="K105">
        <v>6</v>
      </c>
      <c r="L105">
        <v>179</v>
      </c>
      <c r="M105">
        <v>0</v>
      </c>
      <c r="N105">
        <v>1074</v>
      </c>
      <c r="O105">
        <v>311.45999999999998</v>
      </c>
      <c r="P105" t="s">
        <v>52</v>
      </c>
      <c r="Q105" t="s">
        <v>53</v>
      </c>
    </row>
    <row r="106" spans="1:17" x14ac:dyDescent="0.35">
      <c r="A106" t="s">
        <v>288</v>
      </c>
      <c r="B106" s="1">
        <v>45452</v>
      </c>
      <c r="C106" s="1">
        <v>45453</v>
      </c>
      <c r="D106" t="s">
        <v>71</v>
      </c>
      <c r="E106" t="s">
        <v>39</v>
      </c>
      <c r="F106" t="s">
        <v>20</v>
      </c>
      <c r="G106" t="s">
        <v>21</v>
      </c>
      <c r="H106" t="s">
        <v>42</v>
      </c>
      <c r="I106" t="s">
        <v>113</v>
      </c>
      <c r="J106" t="s">
        <v>114</v>
      </c>
      <c r="K106">
        <v>1</v>
      </c>
      <c r="L106">
        <v>226</v>
      </c>
      <c r="M106">
        <v>0.05</v>
      </c>
      <c r="N106">
        <v>214.7</v>
      </c>
      <c r="O106">
        <v>47.02</v>
      </c>
      <c r="P106" t="s">
        <v>25</v>
      </c>
      <c r="Q106" t="s">
        <v>26</v>
      </c>
    </row>
    <row r="107" spans="1:17" x14ac:dyDescent="0.35">
      <c r="A107" t="s">
        <v>289</v>
      </c>
      <c r="B107" s="1">
        <v>45453</v>
      </c>
      <c r="C107" s="1">
        <v>45457</v>
      </c>
      <c r="D107" t="s">
        <v>74</v>
      </c>
      <c r="E107" t="s">
        <v>19</v>
      </c>
      <c r="F107" t="s">
        <v>30</v>
      </c>
      <c r="G107" t="s">
        <v>31</v>
      </c>
      <c r="H107" t="s">
        <v>22</v>
      </c>
      <c r="I107" t="s">
        <v>105</v>
      </c>
      <c r="J107" t="s">
        <v>117</v>
      </c>
      <c r="K107">
        <v>4</v>
      </c>
      <c r="L107">
        <v>273</v>
      </c>
      <c r="M107">
        <v>0.1</v>
      </c>
      <c r="N107">
        <v>982.8</v>
      </c>
      <c r="O107">
        <v>115.97</v>
      </c>
      <c r="P107" t="s">
        <v>35</v>
      </c>
      <c r="Q107" t="s">
        <v>36</v>
      </c>
    </row>
    <row r="108" spans="1:17" x14ac:dyDescent="0.35">
      <c r="A108" t="s">
        <v>290</v>
      </c>
      <c r="B108" s="1">
        <v>45455</v>
      </c>
      <c r="C108" s="1">
        <v>45462</v>
      </c>
      <c r="D108" t="s">
        <v>78</v>
      </c>
      <c r="E108" t="s">
        <v>29</v>
      </c>
      <c r="F108" t="s">
        <v>40</v>
      </c>
      <c r="G108" t="s">
        <v>41</v>
      </c>
      <c r="H108" t="s">
        <v>32</v>
      </c>
      <c r="I108" t="s">
        <v>109</v>
      </c>
      <c r="J108" t="s">
        <v>120</v>
      </c>
      <c r="K108">
        <v>7</v>
      </c>
      <c r="L108">
        <v>320</v>
      </c>
      <c r="M108">
        <v>0.15</v>
      </c>
      <c r="N108">
        <v>1904</v>
      </c>
      <c r="O108">
        <v>375.09</v>
      </c>
      <c r="P108" t="s">
        <v>45</v>
      </c>
      <c r="Q108" t="s">
        <v>46</v>
      </c>
    </row>
    <row r="109" spans="1:17" x14ac:dyDescent="0.35">
      <c r="A109" t="s">
        <v>291</v>
      </c>
      <c r="B109" s="1">
        <v>45456</v>
      </c>
      <c r="C109" s="1">
        <v>45458</v>
      </c>
      <c r="D109" t="s">
        <v>82</v>
      </c>
      <c r="E109" t="s">
        <v>39</v>
      </c>
      <c r="F109" t="s">
        <v>49</v>
      </c>
      <c r="G109" t="s">
        <v>50</v>
      </c>
      <c r="H109" t="s">
        <v>42</v>
      </c>
      <c r="I109" t="s">
        <v>113</v>
      </c>
      <c r="J109" t="s">
        <v>123</v>
      </c>
      <c r="K109">
        <v>2</v>
      </c>
      <c r="L109">
        <v>367</v>
      </c>
      <c r="M109">
        <v>0.2</v>
      </c>
      <c r="N109">
        <v>587.20000000000005</v>
      </c>
      <c r="O109">
        <v>73.989999999999995</v>
      </c>
      <c r="P109" t="s">
        <v>52</v>
      </c>
      <c r="Q109" t="s">
        <v>53</v>
      </c>
    </row>
    <row r="110" spans="1:17" x14ac:dyDescent="0.35">
      <c r="A110" t="s">
        <v>292</v>
      </c>
      <c r="B110" s="1">
        <v>45458</v>
      </c>
      <c r="C110" s="1">
        <v>45463</v>
      </c>
      <c r="D110" t="s">
        <v>86</v>
      </c>
      <c r="E110" t="s">
        <v>19</v>
      </c>
      <c r="F110" t="s">
        <v>20</v>
      </c>
      <c r="G110" t="s">
        <v>56</v>
      </c>
      <c r="H110" t="s">
        <v>22</v>
      </c>
      <c r="I110" t="s">
        <v>23</v>
      </c>
      <c r="J110" t="s">
        <v>24</v>
      </c>
      <c r="K110">
        <v>5</v>
      </c>
      <c r="L110">
        <v>414</v>
      </c>
      <c r="M110">
        <v>0</v>
      </c>
      <c r="N110">
        <v>2070</v>
      </c>
      <c r="O110">
        <v>372.6</v>
      </c>
      <c r="P110" t="s">
        <v>25</v>
      </c>
      <c r="Q110" t="s">
        <v>26</v>
      </c>
    </row>
    <row r="111" spans="1:17" x14ac:dyDescent="0.35">
      <c r="A111" t="s">
        <v>293</v>
      </c>
      <c r="B111" s="1">
        <v>45459</v>
      </c>
      <c r="C111" s="1">
        <v>45467</v>
      </c>
      <c r="D111" t="s">
        <v>89</v>
      </c>
      <c r="E111" t="s">
        <v>29</v>
      </c>
      <c r="F111" t="s">
        <v>30</v>
      </c>
      <c r="G111" t="s">
        <v>60</v>
      </c>
      <c r="H111" t="s">
        <v>32</v>
      </c>
      <c r="I111" t="s">
        <v>33</v>
      </c>
      <c r="J111" t="s">
        <v>34</v>
      </c>
      <c r="K111">
        <v>8</v>
      </c>
      <c r="L111">
        <v>461</v>
      </c>
      <c r="M111">
        <v>0</v>
      </c>
      <c r="N111">
        <v>3688</v>
      </c>
      <c r="O111">
        <v>1069.52</v>
      </c>
      <c r="P111" t="s">
        <v>35</v>
      </c>
      <c r="Q111" t="s">
        <v>36</v>
      </c>
    </row>
    <row r="112" spans="1:17" x14ac:dyDescent="0.35">
      <c r="A112" t="s">
        <v>294</v>
      </c>
      <c r="B112" s="1">
        <v>45461</v>
      </c>
      <c r="C112" s="1">
        <v>45464</v>
      </c>
      <c r="D112" t="s">
        <v>92</v>
      </c>
      <c r="E112" t="s">
        <v>39</v>
      </c>
      <c r="F112" t="s">
        <v>40</v>
      </c>
      <c r="G112" t="s">
        <v>64</v>
      </c>
      <c r="H112" t="s">
        <v>42</v>
      </c>
      <c r="I112" t="s">
        <v>43</v>
      </c>
      <c r="J112" t="s">
        <v>44</v>
      </c>
      <c r="K112">
        <v>3</v>
      </c>
      <c r="L112">
        <v>508</v>
      </c>
      <c r="M112">
        <v>0.05</v>
      </c>
      <c r="N112">
        <v>1447.8</v>
      </c>
      <c r="O112">
        <v>317.07</v>
      </c>
      <c r="P112" t="s">
        <v>45</v>
      </c>
      <c r="Q112" t="s">
        <v>46</v>
      </c>
    </row>
    <row r="113" spans="1:17" x14ac:dyDescent="0.35">
      <c r="A113" t="s">
        <v>295</v>
      </c>
      <c r="B113" s="1">
        <v>45462</v>
      </c>
      <c r="C113" s="1">
        <v>45468</v>
      </c>
      <c r="D113" t="s">
        <v>95</v>
      </c>
      <c r="E113" t="s">
        <v>19</v>
      </c>
      <c r="F113" t="s">
        <v>49</v>
      </c>
      <c r="G113" t="s">
        <v>68</v>
      </c>
      <c r="H113" t="s">
        <v>22</v>
      </c>
      <c r="I113" t="s">
        <v>23</v>
      </c>
      <c r="J113" t="s">
        <v>51</v>
      </c>
      <c r="K113">
        <v>6</v>
      </c>
      <c r="L113">
        <v>555</v>
      </c>
      <c r="M113">
        <v>0.1</v>
      </c>
      <c r="N113">
        <v>2997</v>
      </c>
      <c r="O113">
        <v>353.65</v>
      </c>
      <c r="P113" t="s">
        <v>52</v>
      </c>
      <c r="Q113" t="s">
        <v>53</v>
      </c>
    </row>
    <row r="114" spans="1:17" x14ac:dyDescent="0.35">
      <c r="A114" t="s">
        <v>296</v>
      </c>
      <c r="B114" s="1">
        <v>45464</v>
      </c>
      <c r="C114" s="1">
        <v>45465</v>
      </c>
      <c r="D114" t="s">
        <v>98</v>
      </c>
      <c r="E114" t="s">
        <v>29</v>
      </c>
      <c r="F114" t="s">
        <v>20</v>
      </c>
      <c r="G114" t="s">
        <v>21</v>
      </c>
      <c r="H114" t="s">
        <v>32</v>
      </c>
      <c r="I114" t="s">
        <v>33</v>
      </c>
      <c r="J114" t="s">
        <v>57</v>
      </c>
      <c r="K114">
        <v>1</v>
      </c>
      <c r="L114">
        <v>602</v>
      </c>
      <c r="M114">
        <v>0.15</v>
      </c>
      <c r="N114">
        <v>511.7</v>
      </c>
      <c r="O114">
        <v>100.8</v>
      </c>
      <c r="P114" t="s">
        <v>25</v>
      </c>
      <c r="Q114" t="s">
        <v>26</v>
      </c>
    </row>
    <row r="115" spans="1:17" x14ac:dyDescent="0.35">
      <c r="A115" t="s">
        <v>297</v>
      </c>
      <c r="B115" s="1">
        <v>45465</v>
      </c>
      <c r="C115" s="1">
        <v>45469</v>
      </c>
      <c r="D115" t="s">
        <v>101</v>
      </c>
      <c r="E115" t="s">
        <v>39</v>
      </c>
      <c r="F115" t="s">
        <v>30</v>
      </c>
      <c r="G115" t="s">
        <v>31</v>
      </c>
      <c r="H115" t="s">
        <v>42</v>
      </c>
      <c r="I115" t="s">
        <v>43</v>
      </c>
      <c r="J115" t="s">
        <v>61</v>
      </c>
      <c r="K115">
        <v>4</v>
      </c>
      <c r="L115">
        <v>649</v>
      </c>
      <c r="M115">
        <v>0.2</v>
      </c>
      <c r="N115">
        <v>2076.8000000000002</v>
      </c>
      <c r="O115">
        <v>261.68</v>
      </c>
      <c r="P115" t="s">
        <v>35</v>
      </c>
      <c r="Q115" t="s">
        <v>36</v>
      </c>
    </row>
    <row r="116" spans="1:17" x14ac:dyDescent="0.35">
      <c r="A116" t="s">
        <v>298</v>
      </c>
      <c r="B116" s="1">
        <v>45467</v>
      </c>
      <c r="C116" s="1">
        <v>45474</v>
      </c>
      <c r="D116" t="s">
        <v>104</v>
      </c>
      <c r="E116" t="s">
        <v>19</v>
      </c>
      <c r="F116" t="s">
        <v>40</v>
      </c>
      <c r="G116" t="s">
        <v>41</v>
      </c>
      <c r="H116" t="s">
        <v>22</v>
      </c>
      <c r="I116" t="s">
        <v>23</v>
      </c>
      <c r="J116" t="s">
        <v>65</v>
      </c>
      <c r="K116">
        <v>7</v>
      </c>
      <c r="L116">
        <v>696</v>
      </c>
      <c r="M116">
        <v>0</v>
      </c>
      <c r="N116">
        <v>4872</v>
      </c>
      <c r="O116">
        <v>-487.2</v>
      </c>
      <c r="P116" t="s">
        <v>45</v>
      </c>
      <c r="Q116" t="s">
        <v>46</v>
      </c>
    </row>
    <row r="117" spans="1:17" x14ac:dyDescent="0.35">
      <c r="A117" t="s">
        <v>299</v>
      </c>
      <c r="B117" s="1">
        <v>45468</v>
      </c>
      <c r="C117" s="1">
        <v>45470</v>
      </c>
      <c r="D117" t="s">
        <v>108</v>
      </c>
      <c r="E117" t="s">
        <v>29</v>
      </c>
      <c r="F117" t="s">
        <v>49</v>
      </c>
      <c r="G117" t="s">
        <v>50</v>
      </c>
      <c r="H117" t="s">
        <v>32</v>
      </c>
      <c r="I117" t="s">
        <v>33</v>
      </c>
      <c r="J117" t="s">
        <v>69</v>
      </c>
      <c r="K117">
        <v>2</v>
      </c>
      <c r="L117">
        <v>743</v>
      </c>
      <c r="M117">
        <v>0</v>
      </c>
      <c r="N117">
        <v>1486</v>
      </c>
      <c r="O117">
        <v>430.94</v>
      </c>
      <c r="P117" t="s">
        <v>52</v>
      </c>
      <c r="Q117" t="s">
        <v>53</v>
      </c>
    </row>
    <row r="118" spans="1:17" x14ac:dyDescent="0.35">
      <c r="A118" t="s">
        <v>300</v>
      </c>
      <c r="B118" s="1">
        <v>45470</v>
      </c>
      <c r="C118" s="1">
        <v>45475</v>
      </c>
      <c r="D118" t="s">
        <v>112</v>
      </c>
      <c r="E118" t="s">
        <v>39</v>
      </c>
      <c r="F118" t="s">
        <v>20</v>
      </c>
      <c r="G118" t="s">
        <v>56</v>
      </c>
      <c r="H118" t="s">
        <v>42</v>
      </c>
      <c r="I118" t="s">
        <v>43</v>
      </c>
      <c r="J118" t="s">
        <v>72</v>
      </c>
      <c r="K118">
        <v>5</v>
      </c>
      <c r="L118">
        <v>790</v>
      </c>
      <c r="M118">
        <v>0.05</v>
      </c>
      <c r="N118">
        <v>3752.5</v>
      </c>
      <c r="O118">
        <v>821.8</v>
      </c>
      <c r="P118" t="s">
        <v>25</v>
      </c>
      <c r="Q118" t="s">
        <v>26</v>
      </c>
    </row>
    <row r="119" spans="1:17" x14ac:dyDescent="0.35">
      <c r="A119" t="s">
        <v>301</v>
      </c>
      <c r="B119" s="1">
        <v>45471</v>
      </c>
      <c r="C119" s="1">
        <v>45479</v>
      </c>
      <c r="D119" t="s">
        <v>116</v>
      </c>
      <c r="E119" t="s">
        <v>19</v>
      </c>
      <c r="F119" t="s">
        <v>30</v>
      </c>
      <c r="G119" t="s">
        <v>60</v>
      </c>
      <c r="H119" t="s">
        <v>22</v>
      </c>
      <c r="I119" t="s">
        <v>75</v>
      </c>
      <c r="J119" t="s">
        <v>76</v>
      </c>
      <c r="K119">
        <v>8</v>
      </c>
      <c r="L119">
        <v>57</v>
      </c>
      <c r="M119">
        <v>0.1</v>
      </c>
      <c r="N119">
        <v>410.4</v>
      </c>
      <c r="O119">
        <v>48.43</v>
      </c>
      <c r="P119" t="s">
        <v>35</v>
      </c>
      <c r="Q119" t="s">
        <v>36</v>
      </c>
    </row>
    <row r="120" spans="1:17" x14ac:dyDescent="0.35">
      <c r="A120" t="s">
        <v>302</v>
      </c>
      <c r="B120" s="1">
        <v>45473</v>
      </c>
      <c r="C120" s="1">
        <v>45476</v>
      </c>
      <c r="D120" t="s">
        <v>119</v>
      </c>
      <c r="E120" t="s">
        <v>29</v>
      </c>
      <c r="F120" t="s">
        <v>40</v>
      </c>
      <c r="G120" t="s">
        <v>64</v>
      </c>
      <c r="H120" t="s">
        <v>32</v>
      </c>
      <c r="I120" t="s">
        <v>79</v>
      </c>
      <c r="J120" t="s">
        <v>80</v>
      </c>
      <c r="K120">
        <v>3</v>
      </c>
      <c r="L120">
        <v>104</v>
      </c>
      <c r="M120">
        <v>0.15</v>
      </c>
      <c r="N120">
        <v>265.2</v>
      </c>
      <c r="O120">
        <v>52.24</v>
      </c>
      <c r="P120" t="s">
        <v>45</v>
      </c>
      <c r="Q120" t="s">
        <v>46</v>
      </c>
    </row>
    <row r="121" spans="1:17" x14ac:dyDescent="0.35">
      <c r="A121" t="s">
        <v>303</v>
      </c>
      <c r="B121" s="1">
        <v>45474</v>
      </c>
      <c r="C121" s="1">
        <v>45480</v>
      </c>
      <c r="D121" t="s">
        <v>122</v>
      </c>
      <c r="E121" t="s">
        <v>39</v>
      </c>
      <c r="F121" t="s">
        <v>49</v>
      </c>
      <c r="G121" t="s">
        <v>68</v>
      </c>
      <c r="H121" t="s">
        <v>42</v>
      </c>
      <c r="I121" t="s">
        <v>83</v>
      </c>
      <c r="J121" t="s">
        <v>84</v>
      </c>
      <c r="K121">
        <v>6</v>
      </c>
      <c r="L121">
        <v>151</v>
      </c>
      <c r="M121">
        <v>0.2</v>
      </c>
      <c r="N121">
        <v>724.8</v>
      </c>
      <c r="O121">
        <v>91.32</v>
      </c>
      <c r="P121" t="s">
        <v>52</v>
      </c>
      <c r="Q121" t="s">
        <v>53</v>
      </c>
    </row>
    <row r="122" spans="1:17" x14ac:dyDescent="0.35">
      <c r="A122" t="s">
        <v>304</v>
      </c>
      <c r="B122" s="1">
        <v>45476</v>
      </c>
      <c r="C122" s="1">
        <v>45477</v>
      </c>
      <c r="D122" t="s">
        <v>125</v>
      </c>
      <c r="E122" t="s">
        <v>19</v>
      </c>
      <c r="F122" t="s">
        <v>20</v>
      </c>
      <c r="G122" t="s">
        <v>21</v>
      </c>
      <c r="H122" t="s">
        <v>22</v>
      </c>
      <c r="I122" t="s">
        <v>75</v>
      </c>
      <c r="J122" t="s">
        <v>87</v>
      </c>
      <c r="K122">
        <v>1</v>
      </c>
      <c r="L122">
        <v>198</v>
      </c>
      <c r="M122">
        <v>0</v>
      </c>
      <c r="N122">
        <v>198</v>
      </c>
      <c r="O122">
        <v>35.64</v>
      </c>
      <c r="P122" t="s">
        <v>25</v>
      </c>
      <c r="Q122" t="s">
        <v>26</v>
      </c>
    </row>
    <row r="123" spans="1:17" x14ac:dyDescent="0.35">
      <c r="A123" t="s">
        <v>305</v>
      </c>
      <c r="B123" s="1">
        <v>45477</v>
      </c>
      <c r="C123" s="1">
        <v>45481</v>
      </c>
      <c r="D123" t="s">
        <v>128</v>
      </c>
      <c r="E123" t="s">
        <v>29</v>
      </c>
      <c r="F123" t="s">
        <v>30</v>
      </c>
      <c r="G123" t="s">
        <v>31</v>
      </c>
      <c r="H123" t="s">
        <v>32</v>
      </c>
      <c r="I123" t="s">
        <v>79</v>
      </c>
      <c r="J123" t="s">
        <v>90</v>
      </c>
      <c r="K123">
        <v>4</v>
      </c>
      <c r="L123">
        <v>245</v>
      </c>
      <c r="M123">
        <v>0</v>
      </c>
      <c r="N123">
        <v>980</v>
      </c>
      <c r="O123">
        <v>284.2</v>
      </c>
      <c r="P123" t="s">
        <v>35</v>
      </c>
      <c r="Q123" t="s">
        <v>36</v>
      </c>
    </row>
    <row r="124" spans="1:17" x14ac:dyDescent="0.35">
      <c r="A124" t="s">
        <v>306</v>
      </c>
      <c r="B124" s="1">
        <v>45479</v>
      </c>
      <c r="C124" s="1">
        <v>45486</v>
      </c>
      <c r="D124" t="s">
        <v>131</v>
      </c>
      <c r="E124" t="s">
        <v>39</v>
      </c>
      <c r="F124" t="s">
        <v>40</v>
      </c>
      <c r="G124" t="s">
        <v>41</v>
      </c>
      <c r="H124" t="s">
        <v>42</v>
      </c>
      <c r="I124" t="s">
        <v>83</v>
      </c>
      <c r="J124" t="s">
        <v>93</v>
      </c>
      <c r="K124">
        <v>7</v>
      </c>
      <c r="L124">
        <v>292</v>
      </c>
      <c r="M124">
        <v>0.05</v>
      </c>
      <c r="N124">
        <v>1941.8</v>
      </c>
      <c r="O124">
        <v>425.25</v>
      </c>
      <c r="P124" t="s">
        <v>45</v>
      </c>
      <c r="Q124" t="s">
        <v>46</v>
      </c>
    </row>
    <row r="125" spans="1:17" x14ac:dyDescent="0.35">
      <c r="A125" t="s">
        <v>307</v>
      </c>
      <c r="B125" s="1">
        <v>45480</v>
      </c>
      <c r="C125" s="1">
        <v>45482</v>
      </c>
      <c r="D125" t="s">
        <v>134</v>
      </c>
      <c r="E125" t="s">
        <v>19</v>
      </c>
      <c r="F125" t="s">
        <v>49</v>
      </c>
      <c r="G125" t="s">
        <v>50</v>
      </c>
      <c r="H125" t="s">
        <v>22</v>
      </c>
      <c r="I125" t="s">
        <v>75</v>
      </c>
      <c r="J125" t="s">
        <v>96</v>
      </c>
      <c r="K125">
        <v>2</v>
      </c>
      <c r="L125">
        <v>339</v>
      </c>
      <c r="M125">
        <v>0.1</v>
      </c>
      <c r="N125">
        <v>610.20000000000005</v>
      </c>
      <c r="O125">
        <v>72</v>
      </c>
      <c r="P125" t="s">
        <v>52</v>
      </c>
      <c r="Q125" t="s">
        <v>53</v>
      </c>
    </row>
    <row r="126" spans="1:17" x14ac:dyDescent="0.35">
      <c r="A126" t="s">
        <v>308</v>
      </c>
      <c r="B126" s="1">
        <v>45482</v>
      </c>
      <c r="C126" s="1">
        <v>45487</v>
      </c>
      <c r="D126" t="s">
        <v>136</v>
      </c>
      <c r="E126" t="s">
        <v>29</v>
      </c>
      <c r="F126" t="s">
        <v>20</v>
      </c>
      <c r="G126" t="s">
        <v>56</v>
      </c>
      <c r="H126" t="s">
        <v>32</v>
      </c>
      <c r="I126" t="s">
        <v>79</v>
      </c>
      <c r="J126" t="s">
        <v>99</v>
      </c>
      <c r="K126">
        <v>5</v>
      </c>
      <c r="L126">
        <v>386</v>
      </c>
      <c r="M126">
        <v>0.15</v>
      </c>
      <c r="N126">
        <v>1640.5</v>
      </c>
      <c r="O126">
        <v>323.18</v>
      </c>
      <c r="P126" t="s">
        <v>25</v>
      </c>
      <c r="Q126" t="s">
        <v>26</v>
      </c>
    </row>
    <row r="127" spans="1:17" x14ac:dyDescent="0.35">
      <c r="A127" t="s">
        <v>309</v>
      </c>
      <c r="B127" s="1">
        <v>45483</v>
      </c>
      <c r="C127" s="1">
        <v>45491</v>
      </c>
      <c r="D127" t="s">
        <v>138</v>
      </c>
      <c r="E127" t="s">
        <v>39</v>
      </c>
      <c r="F127" t="s">
        <v>30</v>
      </c>
      <c r="G127" t="s">
        <v>60</v>
      </c>
      <c r="H127" t="s">
        <v>42</v>
      </c>
      <c r="I127" t="s">
        <v>83</v>
      </c>
      <c r="J127" t="s">
        <v>102</v>
      </c>
      <c r="K127">
        <v>8</v>
      </c>
      <c r="L127">
        <v>433</v>
      </c>
      <c r="M127">
        <v>0.2</v>
      </c>
      <c r="N127">
        <v>2771.2</v>
      </c>
      <c r="O127">
        <v>349.17</v>
      </c>
      <c r="P127" t="s">
        <v>35</v>
      </c>
      <c r="Q127" t="s">
        <v>36</v>
      </c>
    </row>
    <row r="128" spans="1:17" x14ac:dyDescent="0.35">
      <c r="A128" t="s">
        <v>310</v>
      </c>
      <c r="B128" s="1">
        <v>45485</v>
      </c>
      <c r="C128" s="1">
        <v>45488</v>
      </c>
      <c r="D128" t="s">
        <v>140</v>
      </c>
      <c r="E128" t="s">
        <v>19</v>
      </c>
      <c r="F128" t="s">
        <v>40</v>
      </c>
      <c r="G128" t="s">
        <v>64</v>
      </c>
      <c r="H128" t="s">
        <v>22</v>
      </c>
      <c r="I128" t="s">
        <v>105</v>
      </c>
      <c r="J128" t="s">
        <v>106</v>
      </c>
      <c r="K128">
        <v>3</v>
      </c>
      <c r="L128">
        <v>480</v>
      </c>
      <c r="M128">
        <v>0</v>
      </c>
      <c r="N128">
        <v>1440</v>
      </c>
      <c r="O128">
        <v>259.2</v>
      </c>
      <c r="P128" t="s">
        <v>45</v>
      </c>
      <c r="Q128" t="s">
        <v>46</v>
      </c>
    </row>
    <row r="129" spans="1:17" x14ac:dyDescent="0.35">
      <c r="A129" t="s">
        <v>311</v>
      </c>
      <c r="B129" s="1">
        <v>45487</v>
      </c>
      <c r="C129" s="1">
        <v>45493</v>
      </c>
      <c r="D129" t="s">
        <v>142</v>
      </c>
      <c r="E129" t="s">
        <v>29</v>
      </c>
      <c r="F129" t="s">
        <v>49</v>
      </c>
      <c r="G129" t="s">
        <v>68</v>
      </c>
      <c r="H129" t="s">
        <v>32</v>
      </c>
      <c r="I129" t="s">
        <v>109</v>
      </c>
      <c r="J129" t="s">
        <v>110</v>
      </c>
      <c r="K129">
        <v>6</v>
      </c>
      <c r="L129">
        <v>527</v>
      </c>
      <c r="M129">
        <v>0</v>
      </c>
      <c r="N129">
        <v>3162</v>
      </c>
      <c r="O129">
        <v>916.98</v>
      </c>
      <c r="P129" t="s">
        <v>52</v>
      </c>
      <c r="Q129" t="s">
        <v>53</v>
      </c>
    </row>
    <row r="130" spans="1:17" x14ac:dyDescent="0.35">
      <c r="A130" t="s">
        <v>312</v>
      </c>
      <c r="B130" s="1">
        <v>45488</v>
      </c>
      <c r="C130" s="1">
        <v>45489</v>
      </c>
      <c r="D130" t="s">
        <v>144</v>
      </c>
      <c r="E130" t="s">
        <v>39</v>
      </c>
      <c r="F130" t="s">
        <v>20</v>
      </c>
      <c r="G130" t="s">
        <v>21</v>
      </c>
      <c r="H130" t="s">
        <v>42</v>
      </c>
      <c r="I130" t="s">
        <v>113</v>
      </c>
      <c r="J130" t="s">
        <v>114</v>
      </c>
      <c r="K130">
        <v>1</v>
      </c>
      <c r="L130">
        <v>574</v>
      </c>
      <c r="M130">
        <v>0.05</v>
      </c>
      <c r="N130">
        <v>545.29999999999995</v>
      </c>
      <c r="O130">
        <v>119.42</v>
      </c>
      <c r="P130" t="s">
        <v>25</v>
      </c>
      <c r="Q130" t="s">
        <v>26</v>
      </c>
    </row>
    <row r="131" spans="1:17" x14ac:dyDescent="0.35">
      <c r="A131" t="s">
        <v>313</v>
      </c>
      <c r="B131" s="1">
        <v>45490</v>
      </c>
      <c r="C131" s="1">
        <v>45494</v>
      </c>
      <c r="D131" t="s">
        <v>146</v>
      </c>
      <c r="E131" t="s">
        <v>19</v>
      </c>
      <c r="F131" t="s">
        <v>30</v>
      </c>
      <c r="G131" t="s">
        <v>31</v>
      </c>
      <c r="H131" t="s">
        <v>22</v>
      </c>
      <c r="I131" t="s">
        <v>105</v>
      </c>
      <c r="J131" t="s">
        <v>117</v>
      </c>
      <c r="K131">
        <v>4</v>
      </c>
      <c r="L131">
        <v>621</v>
      </c>
      <c r="M131">
        <v>0.1</v>
      </c>
      <c r="N131">
        <v>2235.6</v>
      </c>
      <c r="O131">
        <v>263.8</v>
      </c>
      <c r="P131" t="s">
        <v>35</v>
      </c>
      <c r="Q131" t="s">
        <v>36</v>
      </c>
    </row>
    <row r="132" spans="1:17" x14ac:dyDescent="0.35">
      <c r="A132" t="s">
        <v>314</v>
      </c>
      <c r="B132" s="1">
        <v>45491</v>
      </c>
      <c r="C132" s="1">
        <v>45498</v>
      </c>
      <c r="D132" t="s">
        <v>149</v>
      </c>
      <c r="E132" t="s">
        <v>29</v>
      </c>
      <c r="F132" t="s">
        <v>40</v>
      </c>
      <c r="G132" t="s">
        <v>41</v>
      </c>
      <c r="H132" t="s">
        <v>32</v>
      </c>
      <c r="I132" t="s">
        <v>109</v>
      </c>
      <c r="J132" t="s">
        <v>120</v>
      </c>
      <c r="K132">
        <v>7</v>
      </c>
      <c r="L132">
        <v>668</v>
      </c>
      <c r="M132">
        <v>0.15</v>
      </c>
      <c r="N132">
        <v>3974.6</v>
      </c>
      <c r="O132">
        <v>783</v>
      </c>
      <c r="P132" t="s">
        <v>45</v>
      </c>
      <c r="Q132" t="s">
        <v>46</v>
      </c>
    </row>
    <row r="133" spans="1:17" x14ac:dyDescent="0.35">
      <c r="A133" t="s">
        <v>315</v>
      </c>
      <c r="B133" s="1">
        <v>45493</v>
      </c>
      <c r="C133" s="1">
        <v>45495</v>
      </c>
      <c r="D133" t="s">
        <v>152</v>
      </c>
      <c r="E133" t="s">
        <v>39</v>
      </c>
      <c r="F133" t="s">
        <v>49</v>
      </c>
      <c r="G133" t="s">
        <v>50</v>
      </c>
      <c r="H133" t="s">
        <v>42</v>
      </c>
      <c r="I133" t="s">
        <v>113</v>
      </c>
      <c r="J133" t="s">
        <v>123</v>
      </c>
      <c r="K133">
        <v>2</v>
      </c>
      <c r="L133">
        <v>715</v>
      </c>
      <c r="M133">
        <v>0.2</v>
      </c>
      <c r="N133">
        <v>1144</v>
      </c>
      <c r="O133">
        <v>144.13999999999999</v>
      </c>
      <c r="P133" t="s">
        <v>52</v>
      </c>
      <c r="Q133" t="s">
        <v>53</v>
      </c>
    </row>
    <row r="134" spans="1:17" x14ac:dyDescent="0.35">
      <c r="A134" t="s">
        <v>316</v>
      </c>
      <c r="B134" s="1">
        <v>45494</v>
      </c>
      <c r="C134" s="1">
        <v>45499</v>
      </c>
      <c r="D134" t="s">
        <v>155</v>
      </c>
      <c r="E134" t="s">
        <v>19</v>
      </c>
      <c r="F134" t="s">
        <v>20</v>
      </c>
      <c r="G134" t="s">
        <v>56</v>
      </c>
      <c r="H134" t="s">
        <v>22</v>
      </c>
      <c r="I134" t="s">
        <v>105</v>
      </c>
      <c r="J134" t="s">
        <v>126</v>
      </c>
      <c r="K134">
        <v>5</v>
      </c>
      <c r="L134">
        <v>762</v>
      </c>
      <c r="M134">
        <v>0</v>
      </c>
      <c r="N134">
        <v>3810</v>
      </c>
      <c r="O134">
        <v>685.8</v>
      </c>
      <c r="P134" t="s">
        <v>25</v>
      </c>
      <c r="Q134" t="s">
        <v>26</v>
      </c>
    </row>
    <row r="135" spans="1:17" x14ac:dyDescent="0.35">
      <c r="A135" t="s">
        <v>317</v>
      </c>
      <c r="B135" s="1">
        <v>45496</v>
      </c>
      <c r="C135" s="1">
        <v>45504</v>
      </c>
      <c r="D135" t="s">
        <v>157</v>
      </c>
      <c r="E135" t="s">
        <v>29</v>
      </c>
      <c r="F135" t="s">
        <v>30</v>
      </c>
      <c r="G135" t="s">
        <v>60</v>
      </c>
      <c r="H135" t="s">
        <v>32</v>
      </c>
      <c r="I135" t="s">
        <v>109</v>
      </c>
      <c r="J135" t="s">
        <v>129</v>
      </c>
      <c r="K135">
        <v>8</v>
      </c>
      <c r="L135">
        <v>29</v>
      </c>
      <c r="M135">
        <v>0</v>
      </c>
      <c r="N135">
        <v>232</v>
      </c>
      <c r="O135">
        <v>2.3199999999999998</v>
      </c>
      <c r="P135" t="s">
        <v>35</v>
      </c>
      <c r="Q135" t="s">
        <v>36</v>
      </c>
    </row>
    <row r="136" spans="1:17" x14ac:dyDescent="0.35">
      <c r="A136" t="s">
        <v>318</v>
      </c>
      <c r="B136" s="1">
        <v>45497</v>
      </c>
      <c r="C136" s="1">
        <v>45500</v>
      </c>
      <c r="D136" t="s">
        <v>159</v>
      </c>
      <c r="E136" t="s">
        <v>39</v>
      </c>
      <c r="F136" t="s">
        <v>40</v>
      </c>
      <c r="G136" t="s">
        <v>64</v>
      </c>
      <c r="H136" t="s">
        <v>42</v>
      </c>
      <c r="I136" t="s">
        <v>113</v>
      </c>
      <c r="J136" t="s">
        <v>132</v>
      </c>
      <c r="K136">
        <v>3</v>
      </c>
      <c r="L136">
        <v>76</v>
      </c>
      <c r="M136">
        <v>0.05</v>
      </c>
      <c r="N136">
        <v>216.6</v>
      </c>
      <c r="O136">
        <v>47.44</v>
      </c>
      <c r="P136" t="s">
        <v>45</v>
      </c>
      <c r="Q136" t="s">
        <v>46</v>
      </c>
    </row>
    <row r="137" spans="1:17" x14ac:dyDescent="0.35">
      <c r="A137" t="s">
        <v>319</v>
      </c>
      <c r="B137" s="1">
        <v>45499</v>
      </c>
      <c r="C137" s="1">
        <v>45505</v>
      </c>
      <c r="D137" t="s">
        <v>161</v>
      </c>
      <c r="E137" t="s">
        <v>19</v>
      </c>
      <c r="F137" t="s">
        <v>49</v>
      </c>
      <c r="G137" t="s">
        <v>68</v>
      </c>
      <c r="H137" t="s">
        <v>22</v>
      </c>
      <c r="I137" t="s">
        <v>23</v>
      </c>
      <c r="J137" t="s">
        <v>51</v>
      </c>
      <c r="K137">
        <v>6</v>
      </c>
      <c r="L137">
        <v>123</v>
      </c>
      <c r="M137">
        <v>0.1</v>
      </c>
      <c r="N137">
        <v>664.2</v>
      </c>
      <c r="O137">
        <v>78.38</v>
      </c>
      <c r="P137" t="s">
        <v>52</v>
      </c>
      <c r="Q137" t="s">
        <v>53</v>
      </c>
    </row>
    <row r="138" spans="1:17" x14ac:dyDescent="0.35">
      <c r="A138" t="s">
        <v>320</v>
      </c>
      <c r="B138" s="1">
        <v>45500</v>
      </c>
      <c r="C138" s="1">
        <v>45501</v>
      </c>
      <c r="D138" t="s">
        <v>163</v>
      </c>
      <c r="E138" t="s">
        <v>29</v>
      </c>
      <c r="F138" t="s">
        <v>20</v>
      </c>
      <c r="G138" t="s">
        <v>21</v>
      </c>
      <c r="H138" t="s">
        <v>32</v>
      </c>
      <c r="I138" t="s">
        <v>33</v>
      </c>
      <c r="J138" t="s">
        <v>57</v>
      </c>
      <c r="K138">
        <v>1</v>
      </c>
      <c r="L138">
        <v>170</v>
      </c>
      <c r="M138">
        <v>0.15</v>
      </c>
      <c r="N138">
        <v>144.5</v>
      </c>
      <c r="O138">
        <v>28.47</v>
      </c>
      <c r="P138" t="s">
        <v>25</v>
      </c>
      <c r="Q138" t="s">
        <v>26</v>
      </c>
    </row>
    <row r="139" spans="1:17" x14ac:dyDescent="0.35">
      <c r="A139" t="s">
        <v>321</v>
      </c>
      <c r="B139" s="1">
        <v>45502</v>
      </c>
      <c r="C139" s="1">
        <v>45506</v>
      </c>
      <c r="D139" t="s">
        <v>165</v>
      </c>
      <c r="E139" t="s">
        <v>39</v>
      </c>
      <c r="F139" t="s">
        <v>30</v>
      </c>
      <c r="G139" t="s">
        <v>31</v>
      </c>
      <c r="H139" t="s">
        <v>42</v>
      </c>
      <c r="I139" t="s">
        <v>43</v>
      </c>
      <c r="J139" t="s">
        <v>61</v>
      </c>
      <c r="K139">
        <v>4</v>
      </c>
      <c r="L139">
        <v>217</v>
      </c>
      <c r="M139">
        <v>0.2</v>
      </c>
      <c r="N139">
        <v>694.4</v>
      </c>
      <c r="O139">
        <v>87.49</v>
      </c>
      <c r="P139" t="s">
        <v>35</v>
      </c>
      <c r="Q139" t="s">
        <v>36</v>
      </c>
    </row>
    <row r="140" spans="1:17" x14ac:dyDescent="0.35">
      <c r="A140" t="s">
        <v>322</v>
      </c>
      <c r="B140" s="1">
        <v>45503</v>
      </c>
      <c r="C140" s="1">
        <v>45510</v>
      </c>
      <c r="D140" t="s">
        <v>167</v>
      </c>
      <c r="E140" t="s">
        <v>19</v>
      </c>
      <c r="F140" t="s">
        <v>40</v>
      </c>
      <c r="G140" t="s">
        <v>41</v>
      </c>
      <c r="H140" t="s">
        <v>22</v>
      </c>
      <c r="I140" t="s">
        <v>23</v>
      </c>
      <c r="J140" t="s">
        <v>65</v>
      </c>
      <c r="K140">
        <v>7</v>
      </c>
      <c r="L140">
        <v>264</v>
      </c>
      <c r="M140">
        <v>0</v>
      </c>
      <c r="N140">
        <v>1848</v>
      </c>
      <c r="O140">
        <v>332.64</v>
      </c>
      <c r="P140" t="s">
        <v>45</v>
      </c>
      <c r="Q140" t="s">
        <v>46</v>
      </c>
    </row>
    <row r="141" spans="1:17" x14ac:dyDescent="0.35">
      <c r="A141" t="s">
        <v>323</v>
      </c>
      <c r="B141" s="1">
        <v>45505</v>
      </c>
      <c r="C141" s="1">
        <v>45507</v>
      </c>
      <c r="D141" t="s">
        <v>170</v>
      </c>
      <c r="E141" t="s">
        <v>29</v>
      </c>
      <c r="F141" t="s">
        <v>49</v>
      </c>
      <c r="G141" t="s">
        <v>50</v>
      </c>
      <c r="H141" t="s">
        <v>32</v>
      </c>
      <c r="I141" t="s">
        <v>33</v>
      </c>
      <c r="J141" t="s">
        <v>69</v>
      </c>
      <c r="K141">
        <v>2</v>
      </c>
      <c r="L141">
        <v>311</v>
      </c>
      <c r="M141">
        <v>0</v>
      </c>
      <c r="N141">
        <v>622</v>
      </c>
      <c r="O141">
        <v>180.38</v>
      </c>
      <c r="P141" t="s">
        <v>52</v>
      </c>
      <c r="Q141" t="s">
        <v>53</v>
      </c>
    </row>
    <row r="142" spans="1:17" x14ac:dyDescent="0.35">
      <c r="A142" t="s">
        <v>324</v>
      </c>
      <c r="B142" s="1">
        <v>45506</v>
      </c>
      <c r="C142" s="1">
        <v>45511</v>
      </c>
      <c r="D142" t="s">
        <v>173</v>
      </c>
      <c r="E142" t="s">
        <v>39</v>
      </c>
      <c r="F142" t="s">
        <v>20</v>
      </c>
      <c r="G142" t="s">
        <v>56</v>
      </c>
      <c r="H142" t="s">
        <v>42</v>
      </c>
      <c r="I142" t="s">
        <v>43</v>
      </c>
      <c r="J142" t="s">
        <v>72</v>
      </c>
      <c r="K142">
        <v>5</v>
      </c>
      <c r="L142">
        <v>358</v>
      </c>
      <c r="M142">
        <v>0.05</v>
      </c>
      <c r="N142">
        <v>1700.5</v>
      </c>
      <c r="O142">
        <v>372.41</v>
      </c>
      <c r="P142" t="s">
        <v>25</v>
      </c>
      <c r="Q142" t="s">
        <v>26</v>
      </c>
    </row>
    <row r="143" spans="1:17" x14ac:dyDescent="0.35">
      <c r="A143" t="s">
        <v>325</v>
      </c>
      <c r="B143" s="1">
        <v>45508</v>
      </c>
      <c r="C143" s="1">
        <v>45516</v>
      </c>
      <c r="D143" t="s">
        <v>176</v>
      </c>
      <c r="E143" t="s">
        <v>19</v>
      </c>
      <c r="F143" t="s">
        <v>30</v>
      </c>
      <c r="G143" t="s">
        <v>60</v>
      </c>
      <c r="H143" t="s">
        <v>22</v>
      </c>
      <c r="I143" t="s">
        <v>23</v>
      </c>
      <c r="J143" t="s">
        <v>147</v>
      </c>
      <c r="K143">
        <v>8</v>
      </c>
      <c r="L143">
        <v>405</v>
      </c>
      <c r="M143">
        <v>0.1</v>
      </c>
      <c r="N143">
        <v>2916</v>
      </c>
      <c r="O143">
        <v>344.09</v>
      </c>
      <c r="P143" t="s">
        <v>35</v>
      </c>
      <c r="Q143" t="s">
        <v>36</v>
      </c>
    </row>
    <row r="144" spans="1:17" x14ac:dyDescent="0.35">
      <c r="A144" t="s">
        <v>326</v>
      </c>
      <c r="B144" s="1">
        <v>45509</v>
      </c>
      <c r="C144" s="1">
        <v>45512</v>
      </c>
      <c r="D144" t="s">
        <v>178</v>
      </c>
      <c r="E144" t="s">
        <v>29</v>
      </c>
      <c r="F144" t="s">
        <v>40</v>
      </c>
      <c r="G144" t="s">
        <v>64</v>
      </c>
      <c r="H144" t="s">
        <v>32</v>
      </c>
      <c r="I144" t="s">
        <v>33</v>
      </c>
      <c r="J144" t="s">
        <v>150</v>
      </c>
      <c r="K144">
        <v>3</v>
      </c>
      <c r="L144">
        <v>452</v>
      </c>
      <c r="M144">
        <v>0.15</v>
      </c>
      <c r="N144">
        <v>1152.5999999999999</v>
      </c>
      <c r="O144">
        <v>227.06</v>
      </c>
      <c r="P144" t="s">
        <v>45</v>
      </c>
      <c r="Q144" t="s">
        <v>46</v>
      </c>
    </row>
    <row r="145" spans="1:17" x14ac:dyDescent="0.35">
      <c r="A145" t="s">
        <v>327</v>
      </c>
      <c r="B145" s="1">
        <v>45511</v>
      </c>
      <c r="C145" s="1">
        <v>45517</v>
      </c>
      <c r="D145" t="s">
        <v>180</v>
      </c>
      <c r="E145" t="s">
        <v>39</v>
      </c>
      <c r="F145" t="s">
        <v>49</v>
      </c>
      <c r="G145" t="s">
        <v>68</v>
      </c>
      <c r="H145" t="s">
        <v>42</v>
      </c>
      <c r="I145" t="s">
        <v>43</v>
      </c>
      <c r="J145" t="s">
        <v>153</v>
      </c>
      <c r="K145">
        <v>6</v>
      </c>
      <c r="L145">
        <v>499</v>
      </c>
      <c r="M145">
        <v>0.2</v>
      </c>
      <c r="N145">
        <v>2395.1999999999998</v>
      </c>
      <c r="O145">
        <v>301.8</v>
      </c>
      <c r="P145" t="s">
        <v>52</v>
      </c>
      <c r="Q145" t="s">
        <v>53</v>
      </c>
    </row>
    <row r="146" spans="1:17" x14ac:dyDescent="0.35">
      <c r="A146" t="s">
        <v>328</v>
      </c>
      <c r="B146" s="1">
        <v>45512</v>
      </c>
      <c r="C146" s="1">
        <v>45513</v>
      </c>
      <c r="D146" t="s">
        <v>182</v>
      </c>
      <c r="E146" t="s">
        <v>19</v>
      </c>
      <c r="F146" t="s">
        <v>20</v>
      </c>
      <c r="G146" t="s">
        <v>21</v>
      </c>
      <c r="H146" t="s">
        <v>22</v>
      </c>
      <c r="I146" t="s">
        <v>75</v>
      </c>
      <c r="J146" t="s">
        <v>87</v>
      </c>
      <c r="K146">
        <v>1</v>
      </c>
      <c r="L146">
        <v>546</v>
      </c>
      <c r="M146">
        <v>0</v>
      </c>
      <c r="N146">
        <v>546</v>
      </c>
      <c r="O146">
        <v>98.28</v>
      </c>
      <c r="P146" t="s">
        <v>25</v>
      </c>
      <c r="Q146" t="s">
        <v>26</v>
      </c>
    </row>
    <row r="147" spans="1:17" x14ac:dyDescent="0.35">
      <c r="A147" t="s">
        <v>329</v>
      </c>
      <c r="B147" s="1">
        <v>45514</v>
      </c>
      <c r="C147" s="1">
        <v>45518</v>
      </c>
      <c r="D147" t="s">
        <v>184</v>
      </c>
      <c r="E147" t="s">
        <v>29</v>
      </c>
      <c r="F147" t="s">
        <v>30</v>
      </c>
      <c r="G147" t="s">
        <v>31</v>
      </c>
      <c r="H147" t="s">
        <v>32</v>
      </c>
      <c r="I147" t="s">
        <v>79</v>
      </c>
      <c r="J147" t="s">
        <v>90</v>
      </c>
      <c r="K147">
        <v>4</v>
      </c>
      <c r="L147">
        <v>593</v>
      </c>
      <c r="M147">
        <v>0</v>
      </c>
      <c r="N147">
        <v>2372</v>
      </c>
      <c r="O147">
        <v>687.88</v>
      </c>
      <c r="P147" t="s">
        <v>35</v>
      </c>
      <c r="Q147" t="s">
        <v>36</v>
      </c>
    </row>
    <row r="148" spans="1:17" x14ac:dyDescent="0.35">
      <c r="A148" t="s">
        <v>330</v>
      </c>
      <c r="B148" s="1">
        <v>45515</v>
      </c>
      <c r="C148" s="1">
        <v>45522</v>
      </c>
      <c r="D148" t="s">
        <v>186</v>
      </c>
      <c r="E148" t="s">
        <v>39</v>
      </c>
      <c r="F148" t="s">
        <v>40</v>
      </c>
      <c r="G148" t="s">
        <v>41</v>
      </c>
      <c r="H148" t="s">
        <v>42</v>
      </c>
      <c r="I148" t="s">
        <v>83</v>
      </c>
      <c r="J148" t="s">
        <v>93</v>
      </c>
      <c r="K148">
        <v>7</v>
      </c>
      <c r="L148">
        <v>640</v>
      </c>
      <c r="M148">
        <v>0.05</v>
      </c>
      <c r="N148">
        <v>4256</v>
      </c>
      <c r="O148">
        <v>932.06</v>
      </c>
      <c r="P148" t="s">
        <v>45</v>
      </c>
      <c r="Q148" t="s">
        <v>46</v>
      </c>
    </row>
    <row r="149" spans="1:17" x14ac:dyDescent="0.35">
      <c r="A149" t="s">
        <v>331</v>
      </c>
      <c r="B149" s="1">
        <v>45517</v>
      </c>
      <c r="C149" s="1">
        <v>45519</v>
      </c>
      <c r="D149" t="s">
        <v>188</v>
      </c>
      <c r="E149" t="s">
        <v>19</v>
      </c>
      <c r="F149" t="s">
        <v>49</v>
      </c>
      <c r="G149" t="s">
        <v>50</v>
      </c>
      <c r="H149" t="s">
        <v>22</v>
      </c>
      <c r="I149" t="s">
        <v>75</v>
      </c>
      <c r="J149" t="s">
        <v>96</v>
      </c>
      <c r="K149">
        <v>2</v>
      </c>
      <c r="L149">
        <v>687</v>
      </c>
      <c r="M149">
        <v>0.1</v>
      </c>
      <c r="N149">
        <v>1236.5999999999999</v>
      </c>
      <c r="O149">
        <v>145.91999999999999</v>
      </c>
      <c r="P149" t="s">
        <v>52</v>
      </c>
      <c r="Q149" t="s">
        <v>53</v>
      </c>
    </row>
    <row r="150" spans="1:17" x14ac:dyDescent="0.35">
      <c r="A150" t="s">
        <v>332</v>
      </c>
      <c r="B150" s="1">
        <v>45518</v>
      </c>
      <c r="C150" s="1">
        <v>45523</v>
      </c>
      <c r="D150" t="s">
        <v>191</v>
      </c>
      <c r="E150" t="s">
        <v>29</v>
      </c>
      <c r="F150" t="s">
        <v>20</v>
      </c>
      <c r="G150" t="s">
        <v>56</v>
      </c>
      <c r="H150" t="s">
        <v>32</v>
      </c>
      <c r="I150" t="s">
        <v>79</v>
      </c>
      <c r="J150" t="s">
        <v>99</v>
      </c>
      <c r="K150">
        <v>5</v>
      </c>
      <c r="L150">
        <v>734</v>
      </c>
      <c r="M150">
        <v>0.15</v>
      </c>
      <c r="N150">
        <v>3119.5</v>
      </c>
      <c r="O150">
        <v>614.54</v>
      </c>
      <c r="P150" t="s">
        <v>25</v>
      </c>
      <c r="Q150" t="s">
        <v>26</v>
      </c>
    </row>
    <row r="151" spans="1:17" x14ac:dyDescent="0.35">
      <c r="A151" t="s">
        <v>333</v>
      </c>
      <c r="B151" s="1">
        <v>45520</v>
      </c>
      <c r="C151" s="1">
        <v>45528</v>
      </c>
      <c r="D151" t="s">
        <v>194</v>
      </c>
      <c r="E151" t="s">
        <v>39</v>
      </c>
      <c r="F151" t="s">
        <v>30</v>
      </c>
      <c r="G151" t="s">
        <v>60</v>
      </c>
      <c r="H151" t="s">
        <v>42</v>
      </c>
      <c r="I151" t="s">
        <v>83</v>
      </c>
      <c r="J151" t="s">
        <v>102</v>
      </c>
      <c r="K151">
        <v>8</v>
      </c>
      <c r="L151">
        <v>781</v>
      </c>
      <c r="M151">
        <v>0.2</v>
      </c>
      <c r="N151">
        <v>4998.3999999999996</v>
      </c>
      <c r="O151">
        <v>629.79999999999995</v>
      </c>
      <c r="P151" t="s">
        <v>35</v>
      </c>
      <c r="Q151" t="s">
        <v>36</v>
      </c>
    </row>
    <row r="152" spans="1:17" x14ac:dyDescent="0.35">
      <c r="A152" t="s">
        <v>334</v>
      </c>
      <c r="B152" s="1">
        <v>45521</v>
      </c>
      <c r="C152" s="1">
        <v>45524</v>
      </c>
      <c r="D152" t="s">
        <v>197</v>
      </c>
      <c r="E152" t="s">
        <v>19</v>
      </c>
      <c r="F152" t="s">
        <v>40</v>
      </c>
      <c r="G152" t="s">
        <v>64</v>
      </c>
      <c r="H152" t="s">
        <v>22</v>
      </c>
      <c r="I152" t="s">
        <v>75</v>
      </c>
      <c r="J152" t="s">
        <v>168</v>
      </c>
      <c r="K152">
        <v>3</v>
      </c>
      <c r="L152">
        <v>48</v>
      </c>
      <c r="M152">
        <v>0</v>
      </c>
      <c r="N152">
        <v>144</v>
      </c>
      <c r="O152">
        <v>25.92</v>
      </c>
      <c r="P152" t="s">
        <v>45</v>
      </c>
      <c r="Q152" t="s">
        <v>46</v>
      </c>
    </row>
    <row r="153" spans="1:17" x14ac:dyDescent="0.35">
      <c r="A153" t="s">
        <v>335</v>
      </c>
      <c r="B153" s="1">
        <v>45523</v>
      </c>
      <c r="C153" s="1">
        <v>45529</v>
      </c>
      <c r="D153" t="s">
        <v>199</v>
      </c>
      <c r="E153" t="s">
        <v>29</v>
      </c>
      <c r="F153" t="s">
        <v>49</v>
      </c>
      <c r="G153" t="s">
        <v>68</v>
      </c>
      <c r="H153" t="s">
        <v>32</v>
      </c>
      <c r="I153" t="s">
        <v>79</v>
      </c>
      <c r="J153" t="s">
        <v>171</v>
      </c>
      <c r="K153">
        <v>6</v>
      </c>
      <c r="L153">
        <v>95</v>
      </c>
      <c r="M153">
        <v>0</v>
      </c>
      <c r="N153">
        <v>570</v>
      </c>
      <c r="O153">
        <v>165.3</v>
      </c>
      <c r="P153" t="s">
        <v>52</v>
      </c>
      <c r="Q153" t="s">
        <v>53</v>
      </c>
    </row>
    <row r="154" spans="1:17" x14ac:dyDescent="0.35">
      <c r="A154" t="s">
        <v>336</v>
      </c>
      <c r="B154" s="1">
        <v>45525</v>
      </c>
      <c r="C154" s="1">
        <v>45526</v>
      </c>
      <c r="D154" t="s">
        <v>201</v>
      </c>
      <c r="E154" t="s">
        <v>39</v>
      </c>
      <c r="F154" t="s">
        <v>20</v>
      </c>
      <c r="G154" t="s">
        <v>21</v>
      </c>
      <c r="H154" t="s">
        <v>42</v>
      </c>
      <c r="I154" t="s">
        <v>83</v>
      </c>
      <c r="J154" t="s">
        <v>174</v>
      </c>
      <c r="K154">
        <v>1</v>
      </c>
      <c r="L154">
        <v>142</v>
      </c>
      <c r="M154">
        <v>0.05</v>
      </c>
      <c r="N154">
        <v>134.9</v>
      </c>
      <c r="O154">
        <v>-8.23</v>
      </c>
      <c r="P154" t="s">
        <v>25</v>
      </c>
      <c r="Q154" t="s">
        <v>26</v>
      </c>
    </row>
    <row r="155" spans="1:17" x14ac:dyDescent="0.35">
      <c r="A155" t="s">
        <v>337</v>
      </c>
      <c r="B155" s="1">
        <v>45526</v>
      </c>
      <c r="C155" s="1">
        <v>45530</v>
      </c>
      <c r="D155" t="s">
        <v>203</v>
      </c>
      <c r="E155" t="s">
        <v>19</v>
      </c>
      <c r="F155" t="s">
        <v>30</v>
      </c>
      <c r="G155" t="s">
        <v>31</v>
      </c>
      <c r="H155" t="s">
        <v>22</v>
      </c>
      <c r="I155" t="s">
        <v>105</v>
      </c>
      <c r="J155" t="s">
        <v>117</v>
      </c>
      <c r="K155">
        <v>4</v>
      </c>
      <c r="L155">
        <v>189</v>
      </c>
      <c r="M155">
        <v>0.1</v>
      </c>
      <c r="N155">
        <v>680.4</v>
      </c>
      <c r="O155">
        <v>80.290000000000006</v>
      </c>
      <c r="P155" t="s">
        <v>35</v>
      </c>
      <c r="Q155" t="s">
        <v>36</v>
      </c>
    </row>
    <row r="156" spans="1:17" x14ac:dyDescent="0.35">
      <c r="A156" t="s">
        <v>338</v>
      </c>
      <c r="B156" s="1">
        <v>45528</v>
      </c>
      <c r="C156" s="1">
        <v>45535</v>
      </c>
      <c r="D156" t="s">
        <v>205</v>
      </c>
      <c r="E156" t="s">
        <v>29</v>
      </c>
      <c r="F156" t="s">
        <v>40</v>
      </c>
      <c r="G156" t="s">
        <v>41</v>
      </c>
      <c r="H156" t="s">
        <v>32</v>
      </c>
      <c r="I156" t="s">
        <v>109</v>
      </c>
      <c r="J156" t="s">
        <v>120</v>
      </c>
      <c r="K156">
        <v>7</v>
      </c>
      <c r="L156">
        <v>236</v>
      </c>
      <c r="M156">
        <v>0.15</v>
      </c>
      <c r="N156">
        <v>1404.2</v>
      </c>
      <c r="O156">
        <v>276.63</v>
      </c>
      <c r="P156" t="s">
        <v>45</v>
      </c>
      <c r="Q156" t="s">
        <v>46</v>
      </c>
    </row>
    <row r="157" spans="1:17" x14ac:dyDescent="0.35">
      <c r="A157" t="s">
        <v>339</v>
      </c>
      <c r="B157" s="1">
        <v>45529</v>
      </c>
      <c r="C157" s="1">
        <v>45531</v>
      </c>
      <c r="D157" t="s">
        <v>207</v>
      </c>
      <c r="E157" t="s">
        <v>39</v>
      </c>
      <c r="F157" t="s">
        <v>49</v>
      </c>
      <c r="G157" t="s">
        <v>50</v>
      </c>
      <c r="H157" t="s">
        <v>42</v>
      </c>
      <c r="I157" t="s">
        <v>113</v>
      </c>
      <c r="J157" t="s">
        <v>123</v>
      </c>
      <c r="K157">
        <v>2</v>
      </c>
      <c r="L157">
        <v>283</v>
      </c>
      <c r="M157">
        <v>0.2</v>
      </c>
      <c r="N157">
        <v>452.8</v>
      </c>
      <c r="O157">
        <v>57.05</v>
      </c>
      <c r="P157" t="s">
        <v>52</v>
      </c>
      <c r="Q157" t="s">
        <v>53</v>
      </c>
    </row>
    <row r="158" spans="1:17" x14ac:dyDescent="0.35">
      <c r="A158" t="s">
        <v>340</v>
      </c>
      <c r="B158" s="1">
        <v>45531</v>
      </c>
      <c r="C158" s="1">
        <v>45536</v>
      </c>
      <c r="D158" t="s">
        <v>209</v>
      </c>
      <c r="E158" t="s">
        <v>19</v>
      </c>
      <c r="F158" t="s">
        <v>20</v>
      </c>
      <c r="G158" t="s">
        <v>56</v>
      </c>
      <c r="H158" t="s">
        <v>22</v>
      </c>
      <c r="I158" t="s">
        <v>105</v>
      </c>
      <c r="J158" t="s">
        <v>126</v>
      </c>
      <c r="K158">
        <v>5</v>
      </c>
      <c r="L158">
        <v>330</v>
      </c>
      <c r="M158">
        <v>0</v>
      </c>
      <c r="N158">
        <v>1650</v>
      </c>
      <c r="O158">
        <v>297</v>
      </c>
      <c r="P158" t="s">
        <v>25</v>
      </c>
      <c r="Q158" t="s">
        <v>26</v>
      </c>
    </row>
    <row r="159" spans="1:17" x14ac:dyDescent="0.35">
      <c r="A159" t="s">
        <v>341</v>
      </c>
      <c r="B159" s="1">
        <v>45532</v>
      </c>
      <c r="C159" s="1">
        <v>45540</v>
      </c>
      <c r="D159" t="s">
        <v>211</v>
      </c>
      <c r="E159" t="s">
        <v>29</v>
      </c>
      <c r="F159" t="s">
        <v>30</v>
      </c>
      <c r="G159" t="s">
        <v>60</v>
      </c>
      <c r="H159" t="s">
        <v>32</v>
      </c>
      <c r="I159" t="s">
        <v>109</v>
      </c>
      <c r="J159" t="s">
        <v>129</v>
      </c>
      <c r="K159">
        <v>8</v>
      </c>
      <c r="L159">
        <v>377</v>
      </c>
      <c r="M159">
        <v>0</v>
      </c>
      <c r="N159">
        <v>3016</v>
      </c>
      <c r="O159">
        <v>874.64</v>
      </c>
      <c r="P159" t="s">
        <v>35</v>
      </c>
      <c r="Q159" t="s">
        <v>36</v>
      </c>
    </row>
    <row r="160" spans="1:17" x14ac:dyDescent="0.35">
      <c r="A160" t="s">
        <v>342</v>
      </c>
      <c r="B160" s="1">
        <v>45534</v>
      </c>
      <c r="C160" s="1">
        <v>45537</v>
      </c>
      <c r="D160" t="s">
        <v>213</v>
      </c>
      <c r="E160" t="s">
        <v>39</v>
      </c>
      <c r="F160" t="s">
        <v>40</v>
      </c>
      <c r="G160" t="s">
        <v>64</v>
      </c>
      <c r="H160" t="s">
        <v>42</v>
      </c>
      <c r="I160" t="s">
        <v>113</v>
      </c>
      <c r="J160" t="s">
        <v>132</v>
      </c>
      <c r="K160">
        <v>3</v>
      </c>
      <c r="L160">
        <v>424</v>
      </c>
      <c r="M160">
        <v>0.05</v>
      </c>
      <c r="N160">
        <v>1208.4000000000001</v>
      </c>
      <c r="O160">
        <v>264.64</v>
      </c>
      <c r="P160" t="s">
        <v>45</v>
      </c>
      <c r="Q160" t="s">
        <v>46</v>
      </c>
    </row>
    <row r="161" spans="1:17" x14ac:dyDescent="0.35">
      <c r="A161" t="s">
        <v>343</v>
      </c>
      <c r="B161" s="1">
        <v>45535</v>
      </c>
      <c r="C161" s="1">
        <v>45541</v>
      </c>
      <c r="D161" t="s">
        <v>215</v>
      </c>
      <c r="E161" t="s">
        <v>19</v>
      </c>
      <c r="F161" t="s">
        <v>49</v>
      </c>
      <c r="G161" t="s">
        <v>68</v>
      </c>
      <c r="H161" t="s">
        <v>22</v>
      </c>
      <c r="I161" t="s">
        <v>105</v>
      </c>
      <c r="J161" t="s">
        <v>189</v>
      </c>
      <c r="K161">
        <v>6</v>
      </c>
      <c r="L161">
        <v>471</v>
      </c>
      <c r="M161">
        <v>0.1</v>
      </c>
      <c r="N161">
        <v>2543.4</v>
      </c>
      <c r="O161">
        <v>300.12</v>
      </c>
      <c r="P161" t="s">
        <v>52</v>
      </c>
      <c r="Q161" t="s">
        <v>53</v>
      </c>
    </row>
    <row r="162" spans="1:17" x14ac:dyDescent="0.35">
      <c r="A162" t="s">
        <v>344</v>
      </c>
      <c r="B162" s="1">
        <v>45537</v>
      </c>
      <c r="C162" s="1">
        <v>45538</v>
      </c>
      <c r="D162" t="s">
        <v>217</v>
      </c>
      <c r="E162" t="s">
        <v>29</v>
      </c>
      <c r="F162" t="s">
        <v>20</v>
      </c>
      <c r="G162" t="s">
        <v>21</v>
      </c>
      <c r="H162" t="s">
        <v>32</v>
      </c>
      <c r="I162" t="s">
        <v>109</v>
      </c>
      <c r="J162" t="s">
        <v>192</v>
      </c>
      <c r="K162">
        <v>1</v>
      </c>
      <c r="L162">
        <v>518</v>
      </c>
      <c r="M162">
        <v>0.15</v>
      </c>
      <c r="N162">
        <v>440.3</v>
      </c>
      <c r="O162">
        <v>86.74</v>
      </c>
      <c r="P162" t="s">
        <v>25</v>
      </c>
      <c r="Q162" t="s">
        <v>26</v>
      </c>
    </row>
    <row r="163" spans="1:17" x14ac:dyDescent="0.35">
      <c r="A163" t="s">
        <v>345</v>
      </c>
      <c r="B163" s="1">
        <v>45538</v>
      </c>
      <c r="C163" s="1">
        <v>45542</v>
      </c>
      <c r="D163" t="s">
        <v>219</v>
      </c>
      <c r="E163" t="s">
        <v>39</v>
      </c>
      <c r="F163" t="s">
        <v>30</v>
      </c>
      <c r="G163" t="s">
        <v>31</v>
      </c>
      <c r="H163" t="s">
        <v>42</v>
      </c>
      <c r="I163" t="s">
        <v>113</v>
      </c>
      <c r="J163" t="s">
        <v>195</v>
      </c>
      <c r="K163">
        <v>4</v>
      </c>
      <c r="L163">
        <v>565</v>
      </c>
      <c r="M163">
        <v>0.2</v>
      </c>
      <c r="N163">
        <v>1808</v>
      </c>
      <c r="O163">
        <v>227.81</v>
      </c>
      <c r="P163" t="s">
        <v>35</v>
      </c>
      <c r="Q163" t="s">
        <v>36</v>
      </c>
    </row>
    <row r="164" spans="1:17" x14ac:dyDescent="0.35">
      <c r="A164" t="s">
        <v>346</v>
      </c>
      <c r="B164" s="1">
        <v>45540</v>
      </c>
      <c r="C164" s="1">
        <v>45547</v>
      </c>
      <c r="D164" t="s">
        <v>221</v>
      </c>
      <c r="E164" t="s">
        <v>19</v>
      </c>
      <c r="F164" t="s">
        <v>40</v>
      </c>
      <c r="G164" t="s">
        <v>41</v>
      </c>
      <c r="H164" t="s">
        <v>22</v>
      </c>
      <c r="I164" t="s">
        <v>23</v>
      </c>
      <c r="J164" t="s">
        <v>65</v>
      </c>
      <c r="K164">
        <v>7</v>
      </c>
      <c r="L164">
        <v>612</v>
      </c>
      <c r="M164">
        <v>0</v>
      </c>
      <c r="N164">
        <v>4284</v>
      </c>
      <c r="O164">
        <v>771.12</v>
      </c>
      <c r="P164" t="s">
        <v>45</v>
      </c>
      <c r="Q164" t="s">
        <v>46</v>
      </c>
    </row>
    <row r="165" spans="1:17" x14ac:dyDescent="0.35">
      <c r="A165" t="s">
        <v>347</v>
      </c>
      <c r="B165" s="1">
        <v>45541</v>
      </c>
      <c r="C165" s="1">
        <v>45543</v>
      </c>
      <c r="D165" t="s">
        <v>223</v>
      </c>
      <c r="E165" t="s">
        <v>29</v>
      </c>
      <c r="F165" t="s">
        <v>49</v>
      </c>
      <c r="G165" t="s">
        <v>50</v>
      </c>
      <c r="H165" t="s">
        <v>32</v>
      </c>
      <c r="I165" t="s">
        <v>33</v>
      </c>
      <c r="J165" t="s">
        <v>69</v>
      </c>
      <c r="K165">
        <v>2</v>
      </c>
      <c r="L165">
        <v>659</v>
      </c>
      <c r="M165">
        <v>0</v>
      </c>
      <c r="N165">
        <v>1318</v>
      </c>
      <c r="O165">
        <v>382.22</v>
      </c>
      <c r="P165" t="s">
        <v>52</v>
      </c>
      <c r="Q165" t="s">
        <v>53</v>
      </c>
    </row>
    <row r="166" spans="1:17" x14ac:dyDescent="0.35">
      <c r="A166" t="s">
        <v>348</v>
      </c>
      <c r="B166" s="1">
        <v>45543</v>
      </c>
      <c r="C166" s="1">
        <v>45548</v>
      </c>
      <c r="D166" t="s">
        <v>225</v>
      </c>
      <c r="E166" t="s">
        <v>39</v>
      </c>
      <c r="F166" t="s">
        <v>20</v>
      </c>
      <c r="G166" t="s">
        <v>56</v>
      </c>
      <c r="H166" t="s">
        <v>42</v>
      </c>
      <c r="I166" t="s">
        <v>43</v>
      </c>
      <c r="J166" t="s">
        <v>72</v>
      </c>
      <c r="K166">
        <v>5</v>
      </c>
      <c r="L166">
        <v>706</v>
      </c>
      <c r="M166">
        <v>0.05</v>
      </c>
      <c r="N166">
        <v>3353.5</v>
      </c>
      <c r="O166">
        <v>734.42</v>
      </c>
      <c r="P166" t="s">
        <v>25</v>
      </c>
      <c r="Q166" t="s">
        <v>26</v>
      </c>
    </row>
    <row r="167" spans="1:17" x14ac:dyDescent="0.35">
      <c r="A167" t="s">
        <v>349</v>
      </c>
      <c r="B167" s="1">
        <v>45544</v>
      </c>
      <c r="C167" s="1">
        <v>45552</v>
      </c>
      <c r="D167" t="s">
        <v>227</v>
      </c>
      <c r="E167" t="s">
        <v>19</v>
      </c>
      <c r="F167" t="s">
        <v>30</v>
      </c>
      <c r="G167" t="s">
        <v>60</v>
      </c>
      <c r="H167" t="s">
        <v>22</v>
      </c>
      <c r="I167" t="s">
        <v>23</v>
      </c>
      <c r="J167" t="s">
        <v>147</v>
      </c>
      <c r="K167">
        <v>8</v>
      </c>
      <c r="L167">
        <v>753</v>
      </c>
      <c r="M167">
        <v>0.1</v>
      </c>
      <c r="N167">
        <v>5421.6</v>
      </c>
      <c r="O167">
        <v>639.75</v>
      </c>
      <c r="P167" t="s">
        <v>35</v>
      </c>
      <c r="Q167" t="s">
        <v>36</v>
      </c>
    </row>
    <row r="168" spans="1:17" x14ac:dyDescent="0.35">
      <c r="A168" t="s">
        <v>350</v>
      </c>
      <c r="B168" s="1">
        <v>45546</v>
      </c>
      <c r="C168" s="1">
        <v>45549</v>
      </c>
      <c r="D168" t="s">
        <v>229</v>
      </c>
      <c r="E168" t="s">
        <v>29</v>
      </c>
      <c r="F168" t="s">
        <v>40</v>
      </c>
      <c r="G168" t="s">
        <v>64</v>
      </c>
      <c r="H168" t="s">
        <v>32</v>
      </c>
      <c r="I168" t="s">
        <v>33</v>
      </c>
      <c r="J168" t="s">
        <v>150</v>
      </c>
      <c r="K168">
        <v>3</v>
      </c>
      <c r="L168">
        <v>20</v>
      </c>
      <c r="M168">
        <v>0.15</v>
      </c>
      <c r="N168">
        <v>51</v>
      </c>
      <c r="O168">
        <v>10.050000000000001</v>
      </c>
      <c r="P168" t="s">
        <v>45</v>
      </c>
      <c r="Q168" t="s">
        <v>46</v>
      </c>
    </row>
    <row r="169" spans="1:17" x14ac:dyDescent="0.35">
      <c r="A169" t="s">
        <v>351</v>
      </c>
      <c r="B169" s="1">
        <v>45547</v>
      </c>
      <c r="C169" s="1">
        <v>45553</v>
      </c>
      <c r="D169" t="s">
        <v>231</v>
      </c>
      <c r="E169" t="s">
        <v>39</v>
      </c>
      <c r="F169" t="s">
        <v>49</v>
      </c>
      <c r="G169" t="s">
        <v>68</v>
      </c>
      <c r="H169" t="s">
        <v>42</v>
      </c>
      <c r="I169" t="s">
        <v>43</v>
      </c>
      <c r="J169" t="s">
        <v>153</v>
      </c>
      <c r="K169">
        <v>6</v>
      </c>
      <c r="L169">
        <v>67</v>
      </c>
      <c r="M169">
        <v>0.2</v>
      </c>
      <c r="N169">
        <v>321.60000000000002</v>
      </c>
      <c r="O169">
        <v>40.520000000000003</v>
      </c>
      <c r="P169" t="s">
        <v>52</v>
      </c>
      <c r="Q169" t="s">
        <v>53</v>
      </c>
    </row>
    <row r="170" spans="1:17" x14ac:dyDescent="0.35">
      <c r="A170" t="s">
        <v>352</v>
      </c>
      <c r="B170" s="1">
        <v>45549</v>
      </c>
      <c r="C170" s="1">
        <v>45550</v>
      </c>
      <c r="D170" t="s">
        <v>233</v>
      </c>
      <c r="E170" t="s">
        <v>19</v>
      </c>
      <c r="F170" t="s">
        <v>20</v>
      </c>
      <c r="G170" t="s">
        <v>21</v>
      </c>
      <c r="H170" t="s">
        <v>22</v>
      </c>
      <c r="I170" t="s">
        <v>23</v>
      </c>
      <c r="J170" t="s">
        <v>24</v>
      </c>
      <c r="K170">
        <v>1</v>
      </c>
      <c r="L170">
        <v>114</v>
      </c>
      <c r="M170">
        <v>0</v>
      </c>
      <c r="N170">
        <v>114</v>
      </c>
      <c r="O170">
        <v>20.52</v>
      </c>
      <c r="P170" t="s">
        <v>25</v>
      </c>
      <c r="Q170" t="s">
        <v>26</v>
      </c>
    </row>
    <row r="171" spans="1:17" x14ac:dyDescent="0.35">
      <c r="A171" t="s">
        <v>353</v>
      </c>
      <c r="B171" s="1">
        <v>45550</v>
      </c>
      <c r="C171" s="1">
        <v>45554</v>
      </c>
      <c r="D171" t="s">
        <v>235</v>
      </c>
      <c r="E171" t="s">
        <v>29</v>
      </c>
      <c r="F171" t="s">
        <v>30</v>
      </c>
      <c r="G171" t="s">
        <v>31</v>
      </c>
      <c r="H171" t="s">
        <v>32</v>
      </c>
      <c r="I171" t="s">
        <v>33</v>
      </c>
      <c r="J171" t="s">
        <v>34</v>
      </c>
      <c r="K171">
        <v>4</v>
      </c>
      <c r="L171">
        <v>161</v>
      </c>
      <c r="M171">
        <v>0</v>
      </c>
      <c r="N171">
        <v>644</v>
      </c>
      <c r="O171">
        <v>186.76</v>
      </c>
      <c r="P171" t="s">
        <v>35</v>
      </c>
      <c r="Q171" t="s">
        <v>36</v>
      </c>
    </row>
    <row r="172" spans="1:17" x14ac:dyDescent="0.35">
      <c r="A172" t="s">
        <v>354</v>
      </c>
      <c r="B172" s="1">
        <v>45552</v>
      </c>
      <c r="C172" s="1">
        <v>45559</v>
      </c>
      <c r="D172" t="s">
        <v>237</v>
      </c>
      <c r="E172" t="s">
        <v>39</v>
      </c>
      <c r="F172" t="s">
        <v>40</v>
      </c>
      <c r="G172" t="s">
        <v>41</v>
      </c>
      <c r="H172" t="s">
        <v>42</v>
      </c>
      <c r="I172" t="s">
        <v>43</v>
      </c>
      <c r="J172" t="s">
        <v>44</v>
      </c>
      <c r="K172">
        <v>7</v>
      </c>
      <c r="L172">
        <v>208</v>
      </c>
      <c r="M172">
        <v>0.05</v>
      </c>
      <c r="N172">
        <v>1383.2</v>
      </c>
      <c r="O172">
        <v>302.92</v>
      </c>
      <c r="P172" t="s">
        <v>45</v>
      </c>
      <c r="Q172" t="s">
        <v>46</v>
      </c>
    </row>
    <row r="173" spans="1:17" x14ac:dyDescent="0.35">
      <c r="A173" t="s">
        <v>355</v>
      </c>
      <c r="B173" s="1">
        <v>45553</v>
      </c>
      <c r="C173" s="1">
        <v>45555</v>
      </c>
      <c r="D173" t="s">
        <v>239</v>
      </c>
      <c r="E173" t="s">
        <v>19</v>
      </c>
      <c r="F173" t="s">
        <v>49</v>
      </c>
      <c r="G173" t="s">
        <v>50</v>
      </c>
      <c r="H173" t="s">
        <v>22</v>
      </c>
      <c r="I173" t="s">
        <v>75</v>
      </c>
      <c r="J173" t="s">
        <v>96</v>
      </c>
      <c r="K173">
        <v>2</v>
      </c>
      <c r="L173">
        <v>255</v>
      </c>
      <c r="M173">
        <v>0.1</v>
      </c>
      <c r="N173">
        <v>459</v>
      </c>
      <c r="O173">
        <v>-74.36</v>
      </c>
      <c r="P173" t="s">
        <v>52</v>
      </c>
      <c r="Q173" t="s">
        <v>53</v>
      </c>
    </row>
    <row r="174" spans="1:17" x14ac:dyDescent="0.35">
      <c r="A174" t="s">
        <v>356</v>
      </c>
      <c r="B174" s="1">
        <v>45555</v>
      </c>
      <c r="C174" s="1">
        <v>45560</v>
      </c>
      <c r="D174" t="s">
        <v>241</v>
      </c>
      <c r="E174" t="s">
        <v>29</v>
      </c>
      <c r="F174" t="s">
        <v>20</v>
      </c>
      <c r="G174" t="s">
        <v>56</v>
      </c>
      <c r="H174" t="s">
        <v>32</v>
      </c>
      <c r="I174" t="s">
        <v>79</v>
      </c>
      <c r="J174" t="s">
        <v>99</v>
      </c>
      <c r="K174">
        <v>5</v>
      </c>
      <c r="L174">
        <v>302</v>
      </c>
      <c r="M174">
        <v>0.15</v>
      </c>
      <c r="N174">
        <v>1283.5</v>
      </c>
      <c r="O174">
        <v>252.85</v>
      </c>
      <c r="P174" t="s">
        <v>25</v>
      </c>
      <c r="Q174" t="s">
        <v>26</v>
      </c>
    </row>
    <row r="175" spans="1:17" x14ac:dyDescent="0.35">
      <c r="A175" t="s">
        <v>357</v>
      </c>
      <c r="B175" s="1">
        <v>45556</v>
      </c>
      <c r="C175" s="1">
        <v>45564</v>
      </c>
      <c r="D175" t="s">
        <v>243</v>
      </c>
      <c r="E175" t="s">
        <v>39</v>
      </c>
      <c r="F175" t="s">
        <v>30</v>
      </c>
      <c r="G175" t="s">
        <v>60</v>
      </c>
      <c r="H175" t="s">
        <v>42</v>
      </c>
      <c r="I175" t="s">
        <v>83</v>
      </c>
      <c r="J175" t="s">
        <v>102</v>
      </c>
      <c r="K175">
        <v>8</v>
      </c>
      <c r="L175">
        <v>349</v>
      </c>
      <c r="M175">
        <v>0.2</v>
      </c>
      <c r="N175">
        <v>2233.6</v>
      </c>
      <c r="O175">
        <v>281.43</v>
      </c>
      <c r="P175" t="s">
        <v>35</v>
      </c>
      <c r="Q175" t="s">
        <v>36</v>
      </c>
    </row>
    <row r="176" spans="1:17" x14ac:dyDescent="0.35">
      <c r="A176" t="s">
        <v>358</v>
      </c>
      <c r="B176" s="1">
        <v>45558</v>
      </c>
      <c r="C176" s="1">
        <v>45561</v>
      </c>
      <c r="D176" t="s">
        <v>245</v>
      </c>
      <c r="E176" t="s">
        <v>19</v>
      </c>
      <c r="F176" t="s">
        <v>40</v>
      </c>
      <c r="G176" t="s">
        <v>64</v>
      </c>
      <c r="H176" t="s">
        <v>22</v>
      </c>
      <c r="I176" t="s">
        <v>75</v>
      </c>
      <c r="J176" t="s">
        <v>168</v>
      </c>
      <c r="K176">
        <v>3</v>
      </c>
      <c r="L176">
        <v>396</v>
      </c>
      <c r="M176">
        <v>0</v>
      </c>
      <c r="N176">
        <v>1188</v>
      </c>
      <c r="O176">
        <v>213.84</v>
      </c>
      <c r="P176" t="s">
        <v>45</v>
      </c>
      <c r="Q176" t="s">
        <v>46</v>
      </c>
    </row>
    <row r="177" spans="1:17" x14ac:dyDescent="0.35">
      <c r="A177" t="s">
        <v>359</v>
      </c>
      <c r="B177" s="1">
        <v>45559</v>
      </c>
      <c r="C177" s="1">
        <v>45565</v>
      </c>
      <c r="D177" t="s">
        <v>247</v>
      </c>
      <c r="E177" t="s">
        <v>29</v>
      </c>
      <c r="F177" t="s">
        <v>49</v>
      </c>
      <c r="G177" t="s">
        <v>68</v>
      </c>
      <c r="H177" t="s">
        <v>32</v>
      </c>
      <c r="I177" t="s">
        <v>79</v>
      </c>
      <c r="J177" t="s">
        <v>171</v>
      </c>
      <c r="K177">
        <v>6</v>
      </c>
      <c r="L177">
        <v>443</v>
      </c>
      <c r="M177">
        <v>0</v>
      </c>
      <c r="N177">
        <v>2658</v>
      </c>
      <c r="O177">
        <v>770.82</v>
      </c>
      <c r="P177" t="s">
        <v>52</v>
      </c>
      <c r="Q177" t="s">
        <v>53</v>
      </c>
    </row>
    <row r="178" spans="1:17" x14ac:dyDescent="0.35">
      <c r="A178" t="s">
        <v>360</v>
      </c>
      <c r="B178" s="1">
        <v>45561</v>
      </c>
      <c r="C178" s="1">
        <v>45562</v>
      </c>
      <c r="D178" t="s">
        <v>249</v>
      </c>
      <c r="E178" t="s">
        <v>39</v>
      </c>
      <c r="F178" t="s">
        <v>20</v>
      </c>
      <c r="G178" t="s">
        <v>21</v>
      </c>
      <c r="H178" t="s">
        <v>42</v>
      </c>
      <c r="I178" t="s">
        <v>83</v>
      </c>
      <c r="J178" t="s">
        <v>174</v>
      </c>
      <c r="K178">
        <v>1</v>
      </c>
      <c r="L178">
        <v>490</v>
      </c>
      <c r="M178">
        <v>0.05</v>
      </c>
      <c r="N178">
        <v>465.5</v>
      </c>
      <c r="O178">
        <v>101.94</v>
      </c>
      <c r="P178" t="s">
        <v>25</v>
      </c>
      <c r="Q178" t="s">
        <v>26</v>
      </c>
    </row>
    <row r="179" spans="1:17" x14ac:dyDescent="0.35">
      <c r="A179" t="s">
        <v>361</v>
      </c>
      <c r="B179" s="1">
        <v>45563</v>
      </c>
      <c r="C179" s="1">
        <v>45567</v>
      </c>
      <c r="D179" t="s">
        <v>251</v>
      </c>
      <c r="E179" t="s">
        <v>19</v>
      </c>
      <c r="F179" t="s">
        <v>30</v>
      </c>
      <c r="G179" t="s">
        <v>31</v>
      </c>
      <c r="H179" t="s">
        <v>22</v>
      </c>
      <c r="I179" t="s">
        <v>75</v>
      </c>
      <c r="J179" t="s">
        <v>76</v>
      </c>
      <c r="K179">
        <v>4</v>
      </c>
      <c r="L179">
        <v>537</v>
      </c>
      <c r="M179">
        <v>0.1</v>
      </c>
      <c r="N179">
        <v>1933.2</v>
      </c>
      <c r="O179">
        <v>228.12</v>
      </c>
      <c r="P179" t="s">
        <v>35</v>
      </c>
      <c r="Q179" t="s">
        <v>36</v>
      </c>
    </row>
    <row r="180" spans="1:17" x14ac:dyDescent="0.35">
      <c r="A180" t="s">
        <v>362</v>
      </c>
      <c r="B180" s="1">
        <v>45564</v>
      </c>
      <c r="C180" s="1">
        <v>45571</v>
      </c>
      <c r="D180" t="s">
        <v>253</v>
      </c>
      <c r="E180" t="s">
        <v>29</v>
      </c>
      <c r="F180" t="s">
        <v>40</v>
      </c>
      <c r="G180" t="s">
        <v>41</v>
      </c>
      <c r="H180" t="s">
        <v>32</v>
      </c>
      <c r="I180" t="s">
        <v>79</v>
      </c>
      <c r="J180" t="s">
        <v>80</v>
      </c>
      <c r="K180">
        <v>7</v>
      </c>
      <c r="L180">
        <v>584</v>
      </c>
      <c r="M180">
        <v>0.15</v>
      </c>
      <c r="N180">
        <v>3474.8</v>
      </c>
      <c r="O180">
        <v>684.54</v>
      </c>
      <c r="P180" t="s">
        <v>45</v>
      </c>
      <c r="Q180" t="s">
        <v>46</v>
      </c>
    </row>
    <row r="181" spans="1:17" x14ac:dyDescent="0.35">
      <c r="A181" t="s">
        <v>363</v>
      </c>
      <c r="B181" s="1">
        <v>45566</v>
      </c>
      <c r="C181" s="1">
        <v>45568</v>
      </c>
      <c r="D181" t="s">
        <v>255</v>
      </c>
      <c r="E181" t="s">
        <v>39</v>
      </c>
      <c r="F181" t="s">
        <v>49</v>
      </c>
      <c r="G181" t="s">
        <v>50</v>
      </c>
      <c r="H181" t="s">
        <v>42</v>
      </c>
      <c r="I181" t="s">
        <v>83</v>
      </c>
      <c r="J181" t="s">
        <v>84</v>
      </c>
      <c r="K181">
        <v>2</v>
      </c>
      <c r="L181">
        <v>631</v>
      </c>
      <c r="M181">
        <v>0.2</v>
      </c>
      <c r="N181">
        <v>1009.6</v>
      </c>
      <c r="O181">
        <v>127.21</v>
      </c>
      <c r="P181" t="s">
        <v>52</v>
      </c>
      <c r="Q181" t="s">
        <v>53</v>
      </c>
    </row>
    <row r="182" spans="1:17" x14ac:dyDescent="0.35">
      <c r="A182" t="s">
        <v>364</v>
      </c>
      <c r="B182" s="1">
        <v>45567</v>
      </c>
      <c r="C182" s="1">
        <v>45572</v>
      </c>
      <c r="D182" t="s">
        <v>257</v>
      </c>
      <c r="E182" t="s">
        <v>19</v>
      </c>
      <c r="F182" t="s">
        <v>20</v>
      </c>
      <c r="G182" t="s">
        <v>56</v>
      </c>
      <c r="H182" t="s">
        <v>22</v>
      </c>
      <c r="I182" t="s">
        <v>105</v>
      </c>
      <c r="J182" t="s">
        <v>126</v>
      </c>
      <c r="K182">
        <v>5</v>
      </c>
      <c r="L182">
        <v>678</v>
      </c>
      <c r="M182">
        <v>0</v>
      </c>
      <c r="N182">
        <v>3390</v>
      </c>
      <c r="O182">
        <v>610.20000000000005</v>
      </c>
      <c r="P182" t="s">
        <v>25</v>
      </c>
      <c r="Q182" t="s">
        <v>26</v>
      </c>
    </row>
    <row r="183" spans="1:17" x14ac:dyDescent="0.35">
      <c r="A183" t="s">
        <v>365</v>
      </c>
      <c r="B183" s="1">
        <v>45569</v>
      </c>
      <c r="C183" s="1">
        <v>45577</v>
      </c>
      <c r="D183" t="s">
        <v>259</v>
      </c>
      <c r="E183" t="s">
        <v>29</v>
      </c>
      <c r="F183" t="s">
        <v>30</v>
      </c>
      <c r="G183" t="s">
        <v>60</v>
      </c>
      <c r="H183" t="s">
        <v>32</v>
      </c>
      <c r="I183" t="s">
        <v>109</v>
      </c>
      <c r="J183" t="s">
        <v>129</v>
      </c>
      <c r="K183">
        <v>8</v>
      </c>
      <c r="L183">
        <v>725</v>
      </c>
      <c r="M183">
        <v>0</v>
      </c>
      <c r="N183">
        <v>5800</v>
      </c>
      <c r="O183">
        <v>1682</v>
      </c>
      <c r="P183" t="s">
        <v>35</v>
      </c>
      <c r="Q183" t="s">
        <v>36</v>
      </c>
    </row>
    <row r="184" spans="1:17" x14ac:dyDescent="0.35">
      <c r="A184" t="s">
        <v>366</v>
      </c>
      <c r="B184" s="1">
        <v>45570</v>
      </c>
      <c r="C184" s="1">
        <v>45573</v>
      </c>
      <c r="D184" t="s">
        <v>261</v>
      </c>
      <c r="E184" t="s">
        <v>39</v>
      </c>
      <c r="F184" t="s">
        <v>40</v>
      </c>
      <c r="G184" t="s">
        <v>64</v>
      </c>
      <c r="H184" t="s">
        <v>42</v>
      </c>
      <c r="I184" t="s">
        <v>113</v>
      </c>
      <c r="J184" t="s">
        <v>132</v>
      </c>
      <c r="K184">
        <v>3</v>
      </c>
      <c r="L184">
        <v>772</v>
      </c>
      <c r="M184">
        <v>0.05</v>
      </c>
      <c r="N184">
        <v>2200.1999999999998</v>
      </c>
      <c r="O184">
        <v>481.84</v>
      </c>
      <c r="P184" t="s">
        <v>45</v>
      </c>
      <c r="Q184" t="s">
        <v>46</v>
      </c>
    </row>
    <row r="185" spans="1:17" x14ac:dyDescent="0.35">
      <c r="A185" t="s">
        <v>367</v>
      </c>
      <c r="B185" s="1">
        <v>45572</v>
      </c>
      <c r="C185" s="1">
        <v>45578</v>
      </c>
      <c r="D185" t="s">
        <v>263</v>
      </c>
      <c r="E185" t="s">
        <v>19</v>
      </c>
      <c r="F185" t="s">
        <v>49</v>
      </c>
      <c r="G185" t="s">
        <v>68</v>
      </c>
      <c r="H185" t="s">
        <v>22</v>
      </c>
      <c r="I185" t="s">
        <v>105</v>
      </c>
      <c r="J185" t="s">
        <v>189</v>
      </c>
      <c r="K185">
        <v>6</v>
      </c>
      <c r="L185">
        <v>39</v>
      </c>
      <c r="M185">
        <v>0.1</v>
      </c>
      <c r="N185">
        <v>210.6</v>
      </c>
      <c r="O185">
        <v>24.85</v>
      </c>
      <c r="P185" t="s">
        <v>52</v>
      </c>
      <c r="Q185" t="s">
        <v>53</v>
      </c>
    </row>
    <row r="186" spans="1:17" x14ac:dyDescent="0.35">
      <c r="A186" t="s">
        <v>368</v>
      </c>
      <c r="B186" s="1">
        <v>45573</v>
      </c>
      <c r="C186" s="1">
        <v>45574</v>
      </c>
      <c r="D186" t="s">
        <v>265</v>
      </c>
      <c r="E186" t="s">
        <v>29</v>
      </c>
      <c r="F186" t="s">
        <v>20</v>
      </c>
      <c r="G186" t="s">
        <v>21</v>
      </c>
      <c r="H186" t="s">
        <v>32</v>
      </c>
      <c r="I186" t="s">
        <v>109</v>
      </c>
      <c r="J186" t="s">
        <v>192</v>
      </c>
      <c r="K186">
        <v>1</v>
      </c>
      <c r="L186">
        <v>86</v>
      </c>
      <c r="M186">
        <v>0.15</v>
      </c>
      <c r="N186">
        <v>73.099999999999994</v>
      </c>
      <c r="O186">
        <v>14.4</v>
      </c>
      <c r="P186" t="s">
        <v>25</v>
      </c>
      <c r="Q186" t="s">
        <v>26</v>
      </c>
    </row>
    <row r="187" spans="1:17" x14ac:dyDescent="0.35">
      <c r="A187" t="s">
        <v>369</v>
      </c>
      <c r="B187" s="1">
        <v>45575</v>
      </c>
      <c r="C187" s="1">
        <v>45579</v>
      </c>
      <c r="D187" t="s">
        <v>267</v>
      </c>
      <c r="E187" t="s">
        <v>39</v>
      </c>
      <c r="F187" t="s">
        <v>30</v>
      </c>
      <c r="G187" t="s">
        <v>31</v>
      </c>
      <c r="H187" t="s">
        <v>42</v>
      </c>
      <c r="I187" t="s">
        <v>113</v>
      </c>
      <c r="J187" t="s">
        <v>195</v>
      </c>
      <c r="K187">
        <v>4</v>
      </c>
      <c r="L187">
        <v>133</v>
      </c>
      <c r="M187">
        <v>0.2</v>
      </c>
      <c r="N187">
        <v>425.6</v>
      </c>
      <c r="O187">
        <v>53.63</v>
      </c>
      <c r="P187" t="s">
        <v>35</v>
      </c>
      <c r="Q187" t="s">
        <v>36</v>
      </c>
    </row>
    <row r="188" spans="1:17" x14ac:dyDescent="0.35">
      <c r="A188" t="s">
        <v>370</v>
      </c>
      <c r="B188" s="1">
        <v>45576</v>
      </c>
      <c r="C188" s="1">
        <v>45583</v>
      </c>
      <c r="D188" t="s">
        <v>269</v>
      </c>
      <c r="E188" t="s">
        <v>19</v>
      </c>
      <c r="F188" t="s">
        <v>40</v>
      </c>
      <c r="G188" t="s">
        <v>41</v>
      </c>
      <c r="H188" t="s">
        <v>22</v>
      </c>
      <c r="I188" t="s">
        <v>105</v>
      </c>
      <c r="J188" t="s">
        <v>106</v>
      </c>
      <c r="K188">
        <v>7</v>
      </c>
      <c r="L188">
        <v>180</v>
      </c>
      <c r="M188">
        <v>0</v>
      </c>
      <c r="N188">
        <v>1260</v>
      </c>
      <c r="O188">
        <v>226.8</v>
      </c>
      <c r="P188" t="s">
        <v>45</v>
      </c>
      <c r="Q188" t="s">
        <v>46</v>
      </c>
    </row>
    <row r="189" spans="1:17" x14ac:dyDescent="0.35">
      <c r="A189" t="s">
        <v>371</v>
      </c>
      <c r="B189" s="1">
        <v>45578</v>
      </c>
      <c r="C189" s="1">
        <v>45580</v>
      </c>
      <c r="D189" t="s">
        <v>271</v>
      </c>
      <c r="E189" t="s">
        <v>29</v>
      </c>
      <c r="F189" t="s">
        <v>49</v>
      </c>
      <c r="G189" t="s">
        <v>50</v>
      </c>
      <c r="H189" t="s">
        <v>32</v>
      </c>
      <c r="I189" t="s">
        <v>109</v>
      </c>
      <c r="J189" t="s">
        <v>110</v>
      </c>
      <c r="K189">
        <v>2</v>
      </c>
      <c r="L189">
        <v>227</v>
      </c>
      <c r="M189">
        <v>0</v>
      </c>
      <c r="N189">
        <v>454</v>
      </c>
      <c r="O189">
        <v>131.66</v>
      </c>
      <c r="P189" t="s">
        <v>52</v>
      </c>
      <c r="Q189" t="s">
        <v>53</v>
      </c>
    </row>
    <row r="190" spans="1:17" x14ac:dyDescent="0.35">
      <c r="A190" t="s">
        <v>372</v>
      </c>
      <c r="B190" s="1">
        <v>45579</v>
      </c>
      <c r="C190" s="1">
        <v>45584</v>
      </c>
      <c r="D190" t="s">
        <v>273</v>
      </c>
      <c r="E190" t="s">
        <v>39</v>
      </c>
      <c r="F190" t="s">
        <v>20</v>
      </c>
      <c r="G190" t="s">
        <v>56</v>
      </c>
      <c r="H190" t="s">
        <v>42</v>
      </c>
      <c r="I190" t="s">
        <v>113</v>
      </c>
      <c r="J190" t="s">
        <v>114</v>
      </c>
      <c r="K190">
        <v>5</v>
      </c>
      <c r="L190">
        <v>274</v>
      </c>
      <c r="M190">
        <v>0.05</v>
      </c>
      <c r="N190">
        <v>1301.5</v>
      </c>
      <c r="O190">
        <v>285.02999999999997</v>
      </c>
      <c r="P190" t="s">
        <v>25</v>
      </c>
      <c r="Q190" t="s">
        <v>26</v>
      </c>
    </row>
    <row r="191" spans="1:17" x14ac:dyDescent="0.35">
      <c r="A191" t="s">
        <v>373</v>
      </c>
      <c r="B191" s="1">
        <v>45581</v>
      </c>
      <c r="C191" s="1">
        <v>45589</v>
      </c>
      <c r="D191" t="s">
        <v>275</v>
      </c>
      <c r="E191" t="s">
        <v>19</v>
      </c>
      <c r="F191" t="s">
        <v>30</v>
      </c>
      <c r="G191" t="s">
        <v>60</v>
      </c>
      <c r="H191" t="s">
        <v>22</v>
      </c>
      <c r="I191" t="s">
        <v>23</v>
      </c>
      <c r="J191" t="s">
        <v>147</v>
      </c>
      <c r="K191">
        <v>8</v>
      </c>
      <c r="L191">
        <v>321</v>
      </c>
      <c r="M191">
        <v>0.1</v>
      </c>
      <c r="N191">
        <v>2311.1999999999998</v>
      </c>
      <c r="O191">
        <v>272.72000000000003</v>
      </c>
      <c r="P191" t="s">
        <v>35</v>
      </c>
      <c r="Q191" t="s">
        <v>36</v>
      </c>
    </row>
    <row r="192" spans="1:17" x14ac:dyDescent="0.35">
      <c r="A192" t="s">
        <v>374</v>
      </c>
      <c r="B192" s="1">
        <v>45582</v>
      </c>
      <c r="C192" s="1">
        <v>45585</v>
      </c>
      <c r="D192" t="s">
        <v>277</v>
      </c>
      <c r="E192" t="s">
        <v>29</v>
      </c>
      <c r="F192" t="s">
        <v>40</v>
      </c>
      <c r="G192" t="s">
        <v>64</v>
      </c>
      <c r="H192" t="s">
        <v>32</v>
      </c>
      <c r="I192" t="s">
        <v>33</v>
      </c>
      <c r="J192" t="s">
        <v>150</v>
      </c>
      <c r="K192">
        <v>3</v>
      </c>
      <c r="L192">
        <v>368</v>
      </c>
      <c r="M192">
        <v>0.15</v>
      </c>
      <c r="N192">
        <v>938.4</v>
      </c>
      <c r="O192">
        <v>-77.89</v>
      </c>
      <c r="P192" t="s">
        <v>45</v>
      </c>
      <c r="Q192" t="s">
        <v>46</v>
      </c>
    </row>
    <row r="193" spans="1:17" x14ac:dyDescent="0.35">
      <c r="A193" t="s">
        <v>375</v>
      </c>
      <c r="B193" s="1">
        <v>45584</v>
      </c>
      <c r="C193" s="1">
        <v>45590</v>
      </c>
      <c r="D193" t="s">
        <v>279</v>
      </c>
      <c r="E193" t="s">
        <v>39</v>
      </c>
      <c r="F193" t="s">
        <v>49</v>
      </c>
      <c r="G193" t="s">
        <v>68</v>
      </c>
      <c r="H193" t="s">
        <v>42</v>
      </c>
      <c r="I193" t="s">
        <v>43</v>
      </c>
      <c r="J193" t="s">
        <v>153</v>
      </c>
      <c r="K193">
        <v>6</v>
      </c>
      <c r="L193">
        <v>415</v>
      </c>
      <c r="M193">
        <v>0.2</v>
      </c>
      <c r="N193">
        <v>1992</v>
      </c>
      <c r="O193">
        <v>250.99</v>
      </c>
      <c r="P193" t="s">
        <v>52</v>
      </c>
      <c r="Q193" t="s">
        <v>53</v>
      </c>
    </row>
    <row r="194" spans="1:17" x14ac:dyDescent="0.35">
      <c r="A194" t="s">
        <v>376</v>
      </c>
      <c r="B194" s="1">
        <v>45585</v>
      </c>
      <c r="C194" s="1">
        <v>45586</v>
      </c>
      <c r="D194" t="s">
        <v>18</v>
      </c>
      <c r="E194" t="s">
        <v>19</v>
      </c>
      <c r="F194" t="s">
        <v>20</v>
      </c>
      <c r="G194" t="s">
        <v>21</v>
      </c>
      <c r="H194" t="s">
        <v>22</v>
      </c>
      <c r="I194" t="s">
        <v>23</v>
      </c>
      <c r="J194" t="s">
        <v>24</v>
      </c>
      <c r="K194">
        <v>1</v>
      </c>
      <c r="L194">
        <v>462</v>
      </c>
      <c r="M194">
        <v>0</v>
      </c>
      <c r="N194">
        <v>462</v>
      </c>
      <c r="O194">
        <v>83.16</v>
      </c>
      <c r="P194" t="s">
        <v>25</v>
      </c>
      <c r="Q194" t="s">
        <v>26</v>
      </c>
    </row>
    <row r="195" spans="1:17" x14ac:dyDescent="0.35">
      <c r="A195" t="s">
        <v>377</v>
      </c>
      <c r="B195" s="1">
        <v>45587</v>
      </c>
      <c r="C195" s="1">
        <v>45591</v>
      </c>
      <c r="D195" t="s">
        <v>28</v>
      </c>
      <c r="E195" t="s">
        <v>29</v>
      </c>
      <c r="F195" t="s">
        <v>30</v>
      </c>
      <c r="G195" t="s">
        <v>31</v>
      </c>
      <c r="H195" t="s">
        <v>32</v>
      </c>
      <c r="I195" t="s">
        <v>33</v>
      </c>
      <c r="J195" t="s">
        <v>34</v>
      </c>
      <c r="K195">
        <v>4</v>
      </c>
      <c r="L195">
        <v>509</v>
      </c>
      <c r="M195">
        <v>0</v>
      </c>
      <c r="N195">
        <v>2036</v>
      </c>
      <c r="O195">
        <v>590.44000000000005</v>
      </c>
      <c r="P195" t="s">
        <v>35</v>
      </c>
      <c r="Q195" t="s">
        <v>36</v>
      </c>
    </row>
    <row r="196" spans="1:17" x14ac:dyDescent="0.35">
      <c r="A196" t="s">
        <v>378</v>
      </c>
      <c r="B196" s="1">
        <v>45588</v>
      </c>
      <c r="C196" s="1">
        <v>45595</v>
      </c>
      <c r="D196" t="s">
        <v>38</v>
      </c>
      <c r="E196" t="s">
        <v>39</v>
      </c>
      <c r="F196" t="s">
        <v>40</v>
      </c>
      <c r="G196" t="s">
        <v>41</v>
      </c>
      <c r="H196" t="s">
        <v>42</v>
      </c>
      <c r="I196" t="s">
        <v>43</v>
      </c>
      <c r="J196" t="s">
        <v>44</v>
      </c>
      <c r="K196">
        <v>7</v>
      </c>
      <c r="L196">
        <v>556</v>
      </c>
      <c r="M196">
        <v>0.05</v>
      </c>
      <c r="N196">
        <v>3697.4</v>
      </c>
      <c r="O196">
        <v>809.73</v>
      </c>
      <c r="P196" t="s">
        <v>45</v>
      </c>
      <c r="Q196" t="s">
        <v>46</v>
      </c>
    </row>
    <row r="197" spans="1:17" x14ac:dyDescent="0.35">
      <c r="A197" t="s">
        <v>379</v>
      </c>
      <c r="B197" s="1">
        <v>45590</v>
      </c>
      <c r="C197" s="1">
        <v>45592</v>
      </c>
      <c r="D197" t="s">
        <v>48</v>
      </c>
      <c r="E197" t="s">
        <v>19</v>
      </c>
      <c r="F197" t="s">
        <v>49</v>
      </c>
      <c r="G197" t="s">
        <v>50</v>
      </c>
      <c r="H197" t="s">
        <v>22</v>
      </c>
      <c r="I197" t="s">
        <v>23</v>
      </c>
      <c r="J197" t="s">
        <v>51</v>
      </c>
      <c r="K197">
        <v>2</v>
      </c>
      <c r="L197">
        <v>603</v>
      </c>
      <c r="M197">
        <v>0.1</v>
      </c>
      <c r="N197">
        <v>1085.4000000000001</v>
      </c>
      <c r="O197">
        <v>128.08000000000001</v>
      </c>
      <c r="P197" t="s">
        <v>52</v>
      </c>
      <c r="Q197" t="s">
        <v>53</v>
      </c>
    </row>
    <row r="198" spans="1:17" x14ac:dyDescent="0.35">
      <c r="A198" t="s">
        <v>380</v>
      </c>
      <c r="B198" s="1">
        <v>45591</v>
      </c>
      <c r="C198" s="1">
        <v>45596</v>
      </c>
      <c r="D198" t="s">
        <v>55</v>
      </c>
      <c r="E198" t="s">
        <v>29</v>
      </c>
      <c r="F198" t="s">
        <v>20</v>
      </c>
      <c r="G198" t="s">
        <v>56</v>
      </c>
      <c r="H198" t="s">
        <v>32</v>
      </c>
      <c r="I198" t="s">
        <v>33</v>
      </c>
      <c r="J198" t="s">
        <v>57</v>
      </c>
      <c r="K198">
        <v>5</v>
      </c>
      <c r="L198">
        <v>650</v>
      </c>
      <c r="M198">
        <v>0.15</v>
      </c>
      <c r="N198">
        <v>2762.5</v>
      </c>
      <c r="O198">
        <v>544.21</v>
      </c>
      <c r="P198" t="s">
        <v>25</v>
      </c>
      <c r="Q198" t="s">
        <v>26</v>
      </c>
    </row>
    <row r="199" spans="1:17" x14ac:dyDescent="0.35">
      <c r="A199" t="s">
        <v>381</v>
      </c>
      <c r="B199" s="1">
        <v>45593</v>
      </c>
      <c r="C199" s="1">
        <v>45601</v>
      </c>
      <c r="D199" t="s">
        <v>59</v>
      </c>
      <c r="E199" t="s">
        <v>39</v>
      </c>
      <c r="F199" t="s">
        <v>30</v>
      </c>
      <c r="G199" t="s">
        <v>60</v>
      </c>
      <c r="H199" t="s">
        <v>42</v>
      </c>
      <c r="I199" t="s">
        <v>43</v>
      </c>
      <c r="J199" t="s">
        <v>61</v>
      </c>
      <c r="K199">
        <v>8</v>
      </c>
      <c r="L199">
        <v>697</v>
      </c>
      <c r="M199">
        <v>0.2</v>
      </c>
      <c r="N199">
        <v>4460.8</v>
      </c>
      <c r="O199">
        <v>562.05999999999995</v>
      </c>
      <c r="P199" t="s">
        <v>35</v>
      </c>
      <c r="Q199" t="s">
        <v>36</v>
      </c>
    </row>
    <row r="200" spans="1:17" x14ac:dyDescent="0.35">
      <c r="A200" t="s">
        <v>382</v>
      </c>
      <c r="B200" s="1">
        <v>45594</v>
      </c>
      <c r="C200" s="1">
        <v>45597</v>
      </c>
      <c r="D200" t="s">
        <v>63</v>
      </c>
      <c r="E200" t="s">
        <v>19</v>
      </c>
      <c r="F200" t="s">
        <v>40</v>
      </c>
      <c r="G200" t="s">
        <v>64</v>
      </c>
      <c r="H200" t="s">
        <v>22</v>
      </c>
      <c r="I200" t="s">
        <v>75</v>
      </c>
      <c r="J200" t="s">
        <v>168</v>
      </c>
      <c r="K200">
        <v>3</v>
      </c>
      <c r="L200">
        <v>744</v>
      </c>
      <c r="M200">
        <v>0</v>
      </c>
      <c r="N200">
        <v>2232</v>
      </c>
      <c r="O200">
        <v>401.76</v>
      </c>
      <c r="P200" t="s">
        <v>45</v>
      </c>
      <c r="Q200" t="s">
        <v>46</v>
      </c>
    </row>
    <row r="201" spans="1:17" x14ac:dyDescent="0.35">
      <c r="A201" t="s">
        <v>383</v>
      </c>
      <c r="B201" s="1">
        <v>45596</v>
      </c>
      <c r="C201" s="1">
        <v>45602</v>
      </c>
      <c r="D201" t="s">
        <v>67</v>
      </c>
      <c r="E201" t="s">
        <v>29</v>
      </c>
      <c r="F201" t="s">
        <v>49</v>
      </c>
      <c r="G201" t="s">
        <v>68</v>
      </c>
      <c r="H201" t="s">
        <v>32</v>
      </c>
      <c r="I201" t="s">
        <v>79</v>
      </c>
      <c r="J201" t="s">
        <v>171</v>
      </c>
      <c r="K201">
        <v>6</v>
      </c>
      <c r="L201">
        <v>791</v>
      </c>
      <c r="M201">
        <v>0</v>
      </c>
      <c r="N201">
        <v>4746</v>
      </c>
      <c r="O201">
        <v>1376.34</v>
      </c>
      <c r="P201" t="s">
        <v>52</v>
      </c>
      <c r="Q201" t="s">
        <v>53</v>
      </c>
    </row>
    <row r="202" spans="1:17" x14ac:dyDescent="0.35">
      <c r="A202" t="s">
        <v>384</v>
      </c>
      <c r="B202" s="1">
        <v>45597</v>
      </c>
      <c r="C202" s="1">
        <v>45598</v>
      </c>
      <c r="D202" t="s">
        <v>71</v>
      </c>
      <c r="E202" t="s">
        <v>39</v>
      </c>
      <c r="F202" t="s">
        <v>20</v>
      </c>
      <c r="G202" t="s">
        <v>21</v>
      </c>
      <c r="H202" t="s">
        <v>42</v>
      </c>
      <c r="I202" t="s">
        <v>83</v>
      </c>
      <c r="J202" t="s">
        <v>174</v>
      </c>
      <c r="K202">
        <v>1</v>
      </c>
      <c r="L202">
        <v>58</v>
      </c>
      <c r="M202">
        <v>0.05</v>
      </c>
      <c r="N202">
        <v>55.1</v>
      </c>
      <c r="O202">
        <v>12.07</v>
      </c>
      <c r="P202" t="s">
        <v>25</v>
      </c>
      <c r="Q202" t="s">
        <v>26</v>
      </c>
    </row>
    <row r="203" spans="1:17" x14ac:dyDescent="0.35">
      <c r="A203" t="s">
        <v>385</v>
      </c>
      <c r="B203" s="1">
        <v>45599</v>
      </c>
      <c r="C203" s="1">
        <v>45603</v>
      </c>
      <c r="D203" t="s">
        <v>74</v>
      </c>
      <c r="E203" t="s">
        <v>19</v>
      </c>
      <c r="F203" t="s">
        <v>30</v>
      </c>
      <c r="G203" t="s">
        <v>31</v>
      </c>
      <c r="H203" t="s">
        <v>22</v>
      </c>
      <c r="I203" t="s">
        <v>75</v>
      </c>
      <c r="J203" t="s">
        <v>76</v>
      </c>
      <c r="K203">
        <v>4</v>
      </c>
      <c r="L203">
        <v>105</v>
      </c>
      <c r="M203">
        <v>0.1</v>
      </c>
      <c r="N203">
        <v>378</v>
      </c>
      <c r="O203">
        <v>44.6</v>
      </c>
      <c r="P203" t="s">
        <v>35</v>
      </c>
      <c r="Q203" t="s">
        <v>36</v>
      </c>
    </row>
    <row r="204" spans="1:17" x14ac:dyDescent="0.35">
      <c r="A204" t="s">
        <v>386</v>
      </c>
      <c r="B204" s="1">
        <v>45601</v>
      </c>
      <c r="C204" s="1">
        <v>45608</v>
      </c>
      <c r="D204" t="s">
        <v>78</v>
      </c>
      <c r="E204" t="s">
        <v>29</v>
      </c>
      <c r="F204" t="s">
        <v>40</v>
      </c>
      <c r="G204" t="s">
        <v>41</v>
      </c>
      <c r="H204" t="s">
        <v>32</v>
      </c>
      <c r="I204" t="s">
        <v>79</v>
      </c>
      <c r="J204" t="s">
        <v>80</v>
      </c>
      <c r="K204">
        <v>7</v>
      </c>
      <c r="L204">
        <v>152</v>
      </c>
      <c r="M204">
        <v>0.15</v>
      </c>
      <c r="N204">
        <v>904.4</v>
      </c>
      <c r="O204">
        <v>178.17</v>
      </c>
      <c r="P204" t="s">
        <v>45</v>
      </c>
      <c r="Q204" t="s">
        <v>46</v>
      </c>
    </row>
    <row r="205" spans="1:17" x14ac:dyDescent="0.35">
      <c r="A205" t="s">
        <v>387</v>
      </c>
      <c r="B205" s="1">
        <v>45602</v>
      </c>
      <c r="C205" s="1">
        <v>45604</v>
      </c>
      <c r="D205" t="s">
        <v>82</v>
      </c>
      <c r="E205" t="s">
        <v>39</v>
      </c>
      <c r="F205" t="s">
        <v>49</v>
      </c>
      <c r="G205" t="s">
        <v>50</v>
      </c>
      <c r="H205" t="s">
        <v>42</v>
      </c>
      <c r="I205" t="s">
        <v>83</v>
      </c>
      <c r="J205" t="s">
        <v>84</v>
      </c>
      <c r="K205">
        <v>2</v>
      </c>
      <c r="L205">
        <v>199</v>
      </c>
      <c r="M205">
        <v>0.2</v>
      </c>
      <c r="N205">
        <v>318.39999999999998</v>
      </c>
      <c r="O205">
        <v>40.119999999999997</v>
      </c>
      <c r="P205" t="s">
        <v>52</v>
      </c>
      <c r="Q205" t="s">
        <v>53</v>
      </c>
    </row>
    <row r="206" spans="1:17" x14ac:dyDescent="0.35">
      <c r="A206" t="s">
        <v>388</v>
      </c>
      <c r="B206" s="1">
        <v>45604</v>
      </c>
      <c r="C206" s="1">
        <v>45609</v>
      </c>
      <c r="D206" t="s">
        <v>86</v>
      </c>
      <c r="E206" t="s">
        <v>19</v>
      </c>
      <c r="F206" t="s">
        <v>20</v>
      </c>
      <c r="G206" t="s">
        <v>56</v>
      </c>
      <c r="H206" t="s">
        <v>22</v>
      </c>
      <c r="I206" t="s">
        <v>75</v>
      </c>
      <c r="J206" t="s">
        <v>87</v>
      </c>
      <c r="K206">
        <v>5</v>
      </c>
      <c r="L206">
        <v>246</v>
      </c>
      <c r="M206">
        <v>0</v>
      </c>
      <c r="N206">
        <v>1230</v>
      </c>
      <c r="O206">
        <v>221.4</v>
      </c>
      <c r="P206" t="s">
        <v>25</v>
      </c>
      <c r="Q206" t="s">
        <v>26</v>
      </c>
    </row>
    <row r="207" spans="1:17" x14ac:dyDescent="0.35">
      <c r="A207" t="s">
        <v>389</v>
      </c>
      <c r="B207" s="1">
        <v>45605</v>
      </c>
      <c r="C207" s="1">
        <v>45613</v>
      </c>
      <c r="D207" t="s">
        <v>89</v>
      </c>
      <c r="E207" t="s">
        <v>29</v>
      </c>
      <c r="F207" t="s">
        <v>30</v>
      </c>
      <c r="G207" t="s">
        <v>60</v>
      </c>
      <c r="H207" t="s">
        <v>32</v>
      </c>
      <c r="I207" t="s">
        <v>79</v>
      </c>
      <c r="J207" t="s">
        <v>90</v>
      </c>
      <c r="K207">
        <v>8</v>
      </c>
      <c r="L207">
        <v>293</v>
      </c>
      <c r="M207">
        <v>0</v>
      </c>
      <c r="N207">
        <v>2344</v>
      </c>
      <c r="O207">
        <v>679.76</v>
      </c>
      <c r="P207" t="s">
        <v>35</v>
      </c>
      <c r="Q207" t="s">
        <v>36</v>
      </c>
    </row>
    <row r="208" spans="1:17" x14ac:dyDescent="0.35">
      <c r="A208" t="s">
        <v>390</v>
      </c>
      <c r="B208" s="1">
        <v>45607</v>
      </c>
      <c r="C208" s="1">
        <v>45610</v>
      </c>
      <c r="D208" t="s">
        <v>92</v>
      </c>
      <c r="E208" t="s">
        <v>39</v>
      </c>
      <c r="F208" t="s">
        <v>40</v>
      </c>
      <c r="G208" t="s">
        <v>64</v>
      </c>
      <c r="H208" t="s">
        <v>42</v>
      </c>
      <c r="I208" t="s">
        <v>83</v>
      </c>
      <c r="J208" t="s">
        <v>93</v>
      </c>
      <c r="K208">
        <v>3</v>
      </c>
      <c r="L208">
        <v>340</v>
      </c>
      <c r="M208">
        <v>0.05</v>
      </c>
      <c r="N208">
        <v>969</v>
      </c>
      <c r="O208">
        <v>212.21</v>
      </c>
      <c r="P208" t="s">
        <v>45</v>
      </c>
      <c r="Q208" t="s">
        <v>46</v>
      </c>
    </row>
    <row r="209" spans="1:17" x14ac:dyDescent="0.35">
      <c r="A209" t="s">
        <v>391</v>
      </c>
      <c r="B209" s="1">
        <v>45608</v>
      </c>
      <c r="C209" s="1">
        <v>45614</v>
      </c>
      <c r="D209" t="s">
        <v>95</v>
      </c>
      <c r="E209" t="s">
        <v>19</v>
      </c>
      <c r="F209" t="s">
        <v>49</v>
      </c>
      <c r="G209" t="s">
        <v>68</v>
      </c>
      <c r="H209" t="s">
        <v>22</v>
      </c>
      <c r="I209" t="s">
        <v>105</v>
      </c>
      <c r="J209" t="s">
        <v>189</v>
      </c>
      <c r="K209">
        <v>6</v>
      </c>
      <c r="L209">
        <v>387</v>
      </c>
      <c r="M209">
        <v>0.1</v>
      </c>
      <c r="N209">
        <v>2089.8000000000002</v>
      </c>
      <c r="O209">
        <v>246.6</v>
      </c>
      <c r="P209" t="s">
        <v>52</v>
      </c>
      <c r="Q209" t="s">
        <v>53</v>
      </c>
    </row>
    <row r="210" spans="1:17" x14ac:dyDescent="0.35">
      <c r="A210" t="s">
        <v>392</v>
      </c>
      <c r="B210" s="1">
        <v>45610</v>
      </c>
      <c r="C210" s="1">
        <v>45611</v>
      </c>
      <c r="D210" t="s">
        <v>98</v>
      </c>
      <c r="E210" t="s">
        <v>29</v>
      </c>
      <c r="F210" t="s">
        <v>20</v>
      </c>
      <c r="G210" t="s">
        <v>21</v>
      </c>
      <c r="H210" t="s">
        <v>32</v>
      </c>
      <c r="I210" t="s">
        <v>109</v>
      </c>
      <c r="J210" t="s">
        <v>192</v>
      </c>
      <c r="K210">
        <v>1</v>
      </c>
      <c r="L210">
        <v>434</v>
      </c>
      <c r="M210">
        <v>0.15</v>
      </c>
      <c r="N210">
        <v>368.9</v>
      </c>
      <c r="O210">
        <v>72.67</v>
      </c>
      <c r="P210" t="s">
        <v>25</v>
      </c>
      <c r="Q210" t="s">
        <v>26</v>
      </c>
    </row>
    <row r="211" spans="1:17" x14ac:dyDescent="0.35">
      <c r="A211" t="s">
        <v>393</v>
      </c>
      <c r="B211" s="1">
        <v>45611</v>
      </c>
      <c r="C211" s="1">
        <v>45615</v>
      </c>
      <c r="D211" t="s">
        <v>101</v>
      </c>
      <c r="E211" t="s">
        <v>39</v>
      </c>
      <c r="F211" t="s">
        <v>30</v>
      </c>
      <c r="G211" t="s">
        <v>31</v>
      </c>
      <c r="H211" t="s">
        <v>42</v>
      </c>
      <c r="I211" t="s">
        <v>113</v>
      </c>
      <c r="J211" t="s">
        <v>195</v>
      </c>
      <c r="K211">
        <v>4</v>
      </c>
      <c r="L211">
        <v>481</v>
      </c>
      <c r="M211">
        <v>0.2</v>
      </c>
      <c r="N211">
        <v>1539.2</v>
      </c>
      <c r="O211">
        <v>-237.04</v>
      </c>
      <c r="P211" t="s">
        <v>35</v>
      </c>
      <c r="Q211" t="s">
        <v>36</v>
      </c>
    </row>
    <row r="212" spans="1:17" x14ac:dyDescent="0.35">
      <c r="A212" t="s">
        <v>394</v>
      </c>
      <c r="B212" s="1">
        <v>45613</v>
      </c>
      <c r="C212" s="1">
        <v>45620</v>
      </c>
      <c r="D212" t="s">
        <v>104</v>
      </c>
      <c r="E212" t="s">
        <v>19</v>
      </c>
      <c r="F212" t="s">
        <v>40</v>
      </c>
      <c r="G212" t="s">
        <v>41</v>
      </c>
      <c r="H212" t="s">
        <v>22</v>
      </c>
      <c r="I212" t="s">
        <v>105</v>
      </c>
      <c r="J212" t="s">
        <v>106</v>
      </c>
      <c r="K212">
        <v>7</v>
      </c>
      <c r="L212">
        <v>528</v>
      </c>
      <c r="M212">
        <v>0</v>
      </c>
      <c r="N212">
        <v>3696</v>
      </c>
      <c r="O212">
        <v>665.28</v>
      </c>
      <c r="P212" t="s">
        <v>45</v>
      </c>
      <c r="Q212" t="s">
        <v>46</v>
      </c>
    </row>
    <row r="213" spans="1:17" x14ac:dyDescent="0.35">
      <c r="A213" t="s">
        <v>395</v>
      </c>
      <c r="B213" s="1">
        <v>45614</v>
      </c>
      <c r="C213" s="1">
        <v>45616</v>
      </c>
      <c r="D213" t="s">
        <v>108</v>
      </c>
      <c r="E213" t="s">
        <v>29</v>
      </c>
      <c r="F213" t="s">
        <v>49</v>
      </c>
      <c r="G213" t="s">
        <v>50</v>
      </c>
      <c r="H213" t="s">
        <v>32</v>
      </c>
      <c r="I213" t="s">
        <v>109</v>
      </c>
      <c r="J213" t="s">
        <v>110</v>
      </c>
      <c r="K213">
        <v>2</v>
      </c>
      <c r="L213">
        <v>575</v>
      </c>
      <c r="M213">
        <v>0</v>
      </c>
      <c r="N213">
        <v>1150</v>
      </c>
      <c r="O213">
        <v>333.5</v>
      </c>
      <c r="P213" t="s">
        <v>52</v>
      </c>
      <c r="Q213" t="s">
        <v>53</v>
      </c>
    </row>
    <row r="214" spans="1:17" x14ac:dyDescent="0.35">
      <c r="A214" t="s">
        <v>396</v>
      </c>
      <c r="B214" s="1">
        <v>45616</v>
      </c>
      <c r="C214" s="1">
        <v>45621</v>
      </c>
      <c r="D214" t="s">
        <v>112</v>
      </c>
      <c r="E214" t="s">
        <v>39</v>
      </c>
      <c r="F214" t="s">
        <v>20</v>
      </c>
      <c r="G214" t="s">
        <v>56</v>
      </c>
      <c r="H214" t="s">
        <v>42</v>
      </c>
      <c r="I214" t="s">
        <v>113</v>
      </c>
      <c r="J214" t="s">
        <v>114</v>
      </c>
      <c r="K214">
        <v>5</v>
      </c>
      <c r="L214">
        <v>622</v>
      </c>
      <c r="M214">
        <v>0.05</v>
      </c>
      <c r="N214">
        <v>2954.5</v>
      </c>
      <c r="O214">
        <v>647.04</v>
      </c>
      <c r="P214" t="s">
        <v>25</v>
      </c>
      <c r="Q214" t="s">
        <v>26</v>
      </c>
    </row>
    <row r="215" spans="1:17" x14ac:dyDescent="0.35">
      <c r="A215" t="s">
        <v>397</v>
      </c>
      <c r="B215" s="1">
        <v>45617</v>
      </c>
      <c r="C215" s="1">
        <v>45625</v>
      </c>
      <c r="D215" t="s">
        <v>116</v>
      </c>
      <c r="E215" t="s">
        <v>19</v>
      </c>
      <c r="F215" t="s">
        <v>30</v>
      </c>
      <c r="G215" t="s">
        <v>60</v>
      </c>
      <c r="H215" t="s">
        <v>22</v>
      </c>
      <c r="I215" t="s">
        <v>105</v>
      </c>
      <c r="J215" t="s">
        <v>117</v>
      </c>
      <c r="K215">
        <v>8</v>
      </c>
      <c r="L215">
        <v>669</v>
      </c>
      <c r="M215">
        <v>0.1</v>
      </c>
      <c r="N215">
        <v>4816.8</v>
      </c>
      <c r="O215">
        <v>568.38</v>
      </c>
      <c r="P215" t="s">
        <v>35</v>
      </c>
      <c r="Q215" t="s">
        <v>36</v>
      </c>
    </row>
    <row r="216" spans="1:17" x14ac:dyDescent="0.35">
      <c r="A216" t="s">
        <v>398</v>
      </c>
      <c r="B216" s="1">
        <v>45619</v>
      </c>
      <c r="C216" s="1">
        <v>45622</v>
      </c>
      <c r="D216" t="s">
        <v>119</v>
      </c>
      <c r="E216" t="s">
        <v>29</v>
      </c>
      <c r="F216" t="s">
        <v>40</v>
      </c>
      <c r="G216" t="s">
        <v>64</v>
      </c>
      <c r="H216" t="s">
        <v>32</v>
      </c>
      <c r="I216" t="s">
        <v>109</v>
      </c>
      <c r="J216" t="s">
        <v>120</v>
      </c>
      <c r="K216">
        <v>3</v>
      </c>
      <c r="L216">
        <v>716</v>
      </c>
      <c r="M216">
        <v>0.15</v>
      </c>
      <c r="N216">
        <v>1825.8</v>
      </c>
      <c r="O216">
        <v>359.68</v>
      </c>
      <c r="P216" t="s">
        <v>45</v>
      </c>
      <c r="Q216" t="s">
        <v>46</v>
      </c>
    </row>
    <row r="217" spans="1:17" x14ac:dyDescent="0.35">
      <c r="A217" t="s">
        <v>399</v>
      </c>
      <c r="B217" s="1">
        <v>45620</v>
      </c>
      <c r="C217" s="1">
        <v>45626</v>
      </c>
      <c r="D217" t="s">
        <v>122</v>
      </c>
      <c r="E217" t="s">
        <v>39</v>
      </c>
      <c r="F217" t="s">
        <v>49</v>
      </c>
      <c r="G217" t="s">
        <v>68</v>
      </c>
      <c r="H217" t="s">
        <v>42</v>
      </c>
      <c r="I217" t="s">
        <v>113</v>
      </c>
      <c r="J217" t="s">
        <v>123</v>
      </c>
      <c r="K217">
        <v>6</v>
      </c>
      <c r="L217">
        <v>763</v>
      </c>
      <c r="M217">
        <v>0.2</v>
      </c>
      <c r="N217">
        <v>3662.4</v>
      </c>
      <c r="O217">
        <v>461.46</v>
      </c>
      <c r="P217" t="s">
        <v>52</v>
      </c>
      <c r="Q217" t="s">
        <v>53</v>
      </c>
    </row>
    <row r="218" spans="1:17" x14ac:dyDescent="0.35">
      <c r="A218" t="s">
        <v>400</v>
      </c>
      <c r="B218" s="1">
        <v>45622</v>
      </c>
      <c r="C218" s="1">
        <v>45623</v>
      </c>
      <c r="D218" t="s">
        <v>125</v>
      </c>
      <c r="E218" t="s">
        <v>19</v>
      </c>
      <c r="F218" t="s">
        <v>20</v>
      </c>
      <c r="G218" t="s">
        <v>21</v>
      </c>
      <c r="H218" t="s">
        <v>22</v>
      </c>
      <c r="I218" t="s">
        <v>23</v>
      </c>
      <c r="J218" t="s">
        <v>24</v>
      </c>
      <c r="K218">
        <v>1</v>
      </c>
      <c r="L218">
        <v>30</v>
      </c>
      <c r="M218">
        <v>0</v>
      </c>
      <c r="N218">
        <v>30</v>
      </c>
      <c r="O218">
        <v>5.4</v>
      </c>
      <c r="P218" t="s">
        <v>25</v>
      </c>
      <c r="Q218" t="s">
        <v>26</v>
      </c>
    </row>
    <row r="219" spans="1:17" x14ac:dyDescent="0.35">
      <c r="A219" t="s">
        <v>401</v>
      </c>
      <c r="B219" s="1">
        <v>45623</v>
      </c>
      <c r="C219" s="1">
        <v>45627</v>
      </c>
      <c r="D219" t="s">
        <v>128</v>
      </c>
      <c r="E219" t="s">
        <v>29</v>
      </c>
      <c r="F219" t="s">
        <v>30</v>
      </c>
      <c r="G219" t="s">
        <v>31</v>
      </c>
      <c r="H219" t="s">
        <v>32</v>
      </c>
      <c r="I219" t="s">
        <v>33</v>
      </c>
      <c r="J219" t="s">
        <v>34</v>
      </c>
      <c r="K219">
        <v>4</v>
      </c>
      <c r="L219">
        <v>77</v>
      </c>
      <c r="M219">
        <v>0</v>
      </c>
      <c r="N219">
        <v>308</v>
      </c>
      <c r="O219">
        <v>89.32</v>
      </c>
      <c r="P219" t="s">
        <v>35</v>
      </c>
      <c r="Q219" t="s">
        <v>36</v>
      </c>
    </row>
    <row r="220" spans="1:17" x14ac:dyDescent="0.35">
      <c r="A220" t="s">
        <v>402</v>
      </c>
      <c r="B220" s="1">
        <v>45625</v>
      </c>
      <c r="C220" s="1">
        <v>45632</v>
      </c>
      <c r="D220" t="s">
        <v>131</v>
      </c>
      <c r="E220" t="s">
        <v>39</v>
      </c>
      <c r="F220" t="s">
        <v>40</v>
      </c>
      <c r="G220" t="s">
        <v>41</v>
      </c>
      <c r="H220" t="s">
        <v>42</v>
      </c>
      <c r="I220" t="s">
        <v>43</v>
      </c>
      <c r="J220" t="s">
        <v>44</v>
      </c>
      <c r="K220">
        <v>7</v>
      </c>
      <c r="L220">
        <v>124</v>
      </c>
      <c r="M220">
        <v>0.05</v>
      </c>
      <c r="N220">
        <v>824.6</v>
      </c>
      <c r="O220">
        <v>180.59</v>
      </c>
      <c r="P220" t="s">
        <v>45</v>
      </c>
      <c r="Q220" t="s">
        <v>46</v>
      </c>
    </row>
    <row r="221" spans="1:17" x14ac:dyDescent="0.35">
      <c r="A221" t="s">
        <v>403</v>
      </c>
      <c r="B221" s="1">
        <v>45626</v>
      </c>
      <c r="C221" s="1">
        <v>45628</v>
      </c>
      <c r="D221" t="s">
        <v>134</v>
      </c>
      <c r="E221" t="s">
        <v>19</v>
      </c>
      <c r="F221" t="s">
        <v>49</v>
      </c>
      <c r="G221" t="s">
        <v>50</v>
      </c>
      <c r="H221" t="s">
        <v>22</v>
      </c>
      <c r="I221" t="s">
        <v>23</v>
      </c>
      <c r="J221" t="s">
        <v>51</v>
      </c>
      <c r="K221">
        <v>2</v>
      </c>
      <c r="L221">
        <v>171</v>
      </c>
      <c r="M221">
        <v>0.1</v>
      </c>
      <c r="N221">
        <v>307.8</v>
      </c>
      <c r="O221">
        <v>36.32</v>
      </c>
      <c r="P221" t="s">
        <v>52</v>
      </c>
      <c r="Q221" t="s">
        <v>53</v>
      </c>
    </row>
    <row r="222" spans="1:17" x14ac:dyDescent="0.35">
      <c r="A222" t="s">
        <v>404</v>
      </c>
      <c r="B222" s="1">
        <v>45628</v>
      </c>
      <c r="C222" s="1">
        <v>45633</v>
      </c>
      <c r="D222" t="s">
        <v>136</v>
      </c>
      <c r="E222" t="s">
        <v>29</v>
      </c>
      <c r="F222" t="s">
        <v>20</v>
      </c>
      <c r="G222" t="s">
        <v>56</v>
      </c>
      <c r="H222" t="s">
        <v>32</v>
      </c>
      <c r="I222" t="s">
        <v>33</v>
      </c>
      <c r="J222" t="s">
        <v>57</v>
      </c>
      <c r="K222">
        <v>5</v>
      </c>
      <c r="L222">
        <v>218</v>
      </c>
      <c r="M222">
        <v>0.15</v>
      </c>
      <c r="N222">
        <v>926.5</v>
      </c>
      <c r="O222">
        <v>182.52</v>
      </c>
      <c r="P222" t="s">
        <v>25</v>
      </c>
      <c r="Q222" t="s">
        <v>26</v>
      </c>
    </row>
    <row r="223" spans="1:17" x14ac:dyDescent="0.35">
      <c r="A223" t="s">
        <v>405</v>
      </c>
      <c r="B223" s="1">
        <v>45629</v>
      </c>
      <c r="C223" s="1">
        <v>45637</v>
      </c>
      <c r="D223" t="s">
        <v>138</v>
      </c>
      <c r="E223" t="s">
        <v>39</v>
      </c>
      <c r="F223" t="s">
        <v>30</v>
      </c>
      <c r="G223" t="s">
        <v>60</v>
      </c>
      <c r="H223" t="s">
        <v>42</v>
      </c>
      <c r="I223" t="s">
        <v>43</v>
      </c>
      <c r="J223" t="s">
        <v>61</v>
      </c>
      <c r="K223">
        <v>8</v>
      </c>
      <c r="L223">
        <v>265</v>
      </c>
      <c r="M223">
        <v>0.2</v>
      </c>
      <c r="N223">
        <v>1696</v>
      </c>
      <c r="O223">
        <v>213.7</v>
      </c>
      <c r="P223" t="s">
        <v>35</v>
      </c>
      <c r="Q223" t="s">
        <v>36</v>
      </c>
    </row>
    <row r="224" spans="1:17" x14ac:dyDescent="0.35">
      <c r="A224" t="s">
        <v>406</v>
      </c>
      <c r="B224" s="1">
        <v>45631</v>
      </c>
      <c r="C224" s="1">
        <v>45634</v>
      </c>
      <c r="D224" t="s">
        <v>140</v>
      </c>
      <c r="E224" t="s">
        <v>19</v>
      </c>
      <c r="F224" t="s">
        <v>40</v>
      </c>
      <c r="G224" t="s">
        <v>64</v>
      </c>
      <c r="H224" t="s">
        <v>22</v>
      </c>
      <c r="I224" t="s">
        <v>23</v>
      </c>
      <c r="J224" t="s">
        <v>65</v>
      </c>
      <c r="K224">
        <v>3</v>
      </c>
      <c r="L224">
        <v>312</v>
      </c>
      <c r="M224">
        <v>0</v>
      </c>
      <c r="N224">
        <v>936</v>
      </c>
      <c r="O224">
        <v>168.48</v>
      </c>
      <c r="P224" t="s">
        <v>45</v>
      </c>
      <c r="Q224" t="s">
        <v>46</v>
      </c>
    </row>
    <row r="225" spans="1:17" x14ac:dyDescent="0.35">
      <c r="A225" t="s">
        <v>407</v>
      </c>
      <c r="B225" s="1">
        <v>45632</v>
      </c>
      <c r="C225" s="1">
        <v>45638</v>
      </c>
      <c r="D225" t="s">
        <v>142</v>
      </c>
      <c r="E225" t="s">
        <v>29</v>
      </c>
      <c r="F225" t="s">
        <v>49</v>
      </c>
      <c r="G225" t="s">
        <v>68</v>
      </c>
      <c r="H225" t="s">
        <v>32</v>
      </c>
      <c r="I225" t="s">
        <v>33</v>
      </c>
      <c r="J225" t="s">
        <v>69</v>
      </c>
      <c r="K225">
        <v>6</v>
      </c>
      <c r="L225">
        <v>359</v>
      </c>
      <c r="M225">
        <v>0</v>
      </c>
      <c r="N225">
        <v>2154</v>
      </c>
      <c r="O225">
        <v>624.66</v>
      </c>
      <c r="P225" t="s">
        <v>52</v>
      </c>
      <c r="Q225" t="s">
        <v>53</v>
      </c>
    </row>
    <row r="226" spans="1:17" x14ac:dyDescent="0.35">
      <c r="A226" t="s">
        <v>408</v>
      </c>
      <c r="B226" s="1">
        <v>45634</v>
      </c>
      <c r="C226" s="1">
        <v>45635</v>
      </c>
      <c r="D226" t="s">
        <v>144</v>
      </c>
      <c r="E226" t="s">
        <v>39</v>
      </c>
      <c r="F226" t="s">
        <v>20</v>
      </c>
      <c r="G226" t="s">
        <v>21</v>
      </c>
      <c r="H226" t="s">
        <v>42</v>
      </c>
      <c r="I226" t="s">
        <v>43</v>
      </c>
      <c r="J226" t="s">
        <v>72</v>
      </c>
      <c r="K226">
        <v>1</v>
      </c>
      <c r="L226">
        <v>406</v>
      </c>
      <c r="M226">
        <v>0.05</v>
      </c>
      <c r="N226">
        <v>385.7</v>
      </c>
      <c r="O226">
        <v>84.47</v>
      </c>
      <c r="P226" t="s">
        <v>25</v>
      </c>
      <c r="Q226" t="s">
        <v>26</v>
      </c>
    </row>
    <row r="227" spans="1:17" x14ac:dyDescent="0.35">
      <c r="A227" t="s">
        <v>409</v>
      </c>
      <c r="B227" s="1">
        <v>45635</v>
      </c>
      <c r="C227" s="1">
        <v>45639</v>
      </c>
      <c r="D227" t="s">
        <v>146</v>
      </c>
      <c r="E227" t="s">
        <v>19</v>
      </c>
      <c r="F227" t="s">
        <v>30</v>
      </c>
      <c r="G227" t="s">
        <v>31</v>
      </c>
      <c r="H227" t="s">
        <v>22</v>
      </c>
      <c r="I227" t="s">
        <v>75</v>
      </c>
      <c r="J227" t="s">
        <v>76</v>
      </c>
      <c r="K227">
        <v>4</v>
      </c>
      <c r="L227">
        <v>453</v>
      </c>
      <c r="M227">
        <v>0.1</v>
      </c>
      <c r="N227">
        <v>1630.8</v>
      </c>
      <c r="O227">
        <v>192.43</v>
      </c>
      <c r="P227" t="s">
        <v>35</v>
      </c>
      <c r="Q227" t="s">
        <v>36</v>
      </c>
    </row>
    <row r="228" spans="1:17" x14ac:dyDescent="0.35">
      <c r="A228" t="s">
        <v>410</v>
      </c>
      <c r="B228" s="1">
        <v>45637</v>
      </c>
      <c r="C228" s="1">
        <v>45644</v>
      </c>
      <c r="D228" t="s">
        <v>149</v>
      </c>
      <c r="E228" t="s">
        <v>29</v>
      </c>
      <c r="F228" t="s">
        <v>40</v>
      </c>
      <c r="G228" t="s">
        <v>41</v>
      </c>
      <c r="H228" t="s">
        <v>32</v>
      </c>
      <c r="I228" t="s">
        <v>79</v>
      </c>
      <c r="J228" t="s">
        <v>80</v>
      </c>
      <c r="K228">
        <v>7</v>
      </c>
      <c r="L228">
        <v>500</v>
      </c>
      <c r="M228">
        <v>0.15</v>
      </c>
      <c r="N228">
        <v>2975</v>
      </c>
      <c r="O228">
        <v>586.07000000000005</v>
      </c>
      <c r="P228" t="s">
        <v>45</v>
      </c>
      <c r="Q228" t="s">
        <v>46</v>
      </c>
    </row>
    <row r="229" spans="1:17" x14ac:dyDescent="0.35">
      <c r="A229" t="s">
        <v>411</v>
      </c>
      <c r="B229" s="1">
        <v>45639</v>
      </c>
      <c r="C229" s="1">
        <v>45641</v>
      </c>
      <c r="D229" t="s">
        <v>152</v>
      </c>
      <c r="E229" t="s">
        <v>39</v>
      </c>
      <c r="F229" t="s">
        <v>49</v>
      </c>
      <c r="G229" t="s">
        <v>50</v>
      </c>
      <c r="H229" t="s">
        <v>42</v>
      </c>
      <c r="I229" t="s">
        <v>83</v>
      </c>
      <c r="J229" t="s">
        <v>84</v>
      </c>
      <c r="K229">
        <v>2</v>
      </c>
      <c r="L229">
        <v>547</v>
      </c>
      <c r="M229">
        <v>0.2</v>
      </c>
      <c r="N229">
        <v>875.2</v>
      </c>
      <c r="O229">
        <v>110.28</v>
      </c>
      <c r="P229" t="s">
        <v>52</v>
      </c>
      <c r="Q229" t="s">
        <v>53</v>
      </c>
    </row>
    <row r="230" spans="1:17" x14ac:dyDescent="0.35">
      <c r="A230" t="s">
        <v>412</v>
      </c>
      <c r="B230" s="1">
        <v>45640</v>
      </c>
      <c r="C230" s="1">
        <v>45645</v>
      </c>
      <c r="D230" t="s">
        <v>155</v>
      </c>
      <c r="E230" t="s">
        <v>19</v>
      </c>
      <c r="F230" t="s">
        <v>20</v>
      </c>
      <c r="G230" t="s">
        <v>56</v>
      </c>
      <c r="H230" t="s">
        <v>22</v>
      </c>
      <c r="I230" t="s">
        <v>75</v>
      </c>
      <c r="J230" t="s">
        <v>87</v>
      </c>
      <c r="K230">
        <v>5</v>
      </c>
      <c r="L230">
        <v>594</v>
      </c>
      <c r="M230">
        <v>0</v>
      </c>
      <c r="N230">
        <v>2970</v>
      </c>
      <c r="O230">
        <v>-297</v>
      </c>
      <c r="P230" t="s">
        <v>25</v>
      </c>
      <c r="Q230" t="s">
        <v>26</v>
      </c>
    </row>
    <row r="231" spans="1:17" x14ac:dyDescent="0.35">
      <c r="A231" t="s">
        <v>413</v>
      </c>
      <c r="B231" s="1">
        <v>45642</v>
      </c>
      <c r="C231" s="1">
        <v>45650</v>
      </c>
      <c r="D231" t="s">
        <v>157</v>
      </c>
      <c r="E231" t="s">
        <v>29</v>
      </c>
      <c r="F231" t="s">
        <v>30</v>
      </c>
      <c r="G231" t="s">
        <v>60</v>
      </c>
      <c r="H231" t="s">
        <v>32</v>
      </c>
      <c r="I231" t="s">
        <v>79</v>
      </c>
      <c r="J231" t="s">
        <v>90</v>
      </c>
      <c r="K231">
        <v>8</v>
      </c>
      <c r="L231">
        <v>641</v>
      </c>
      <c r="M231">
        <v>0</v>
      </c>
      <c r="N231">
        <v>5128</v>
      </c>
      <c r="O231">
        <v>1487.12</v>
      </c>
      <c r="P231" t="s">
        <v>35</v>
      </c>
      <c r="Q231" t="s">
        <v>36</v>
      </c>
    </row>
    <row r="232" spans="1:17" x14ac:dyDescent="0.35">
      <c r="A232" t="s">
        <v>414</v>
      </c>
      <c r="B232" s="1">
        <v>45643</v>
      </c>
      <c r="C232" s="1">
        <v>45646</v>
      </c>
      <c r="D232" t="s">
        <v>159</v>
      </c>
      <c r="E232" t="s">
        <v>39</v>
      </c>
      <c r="F232" t="s">
        <v>40</v>
      </c>
      <c r="G232" t="s">
        <v>64</v>
      </c>
      <c r="H232" t="s">
        <v>42</v>
      </c>
      <c r="I232" t="s">
        <v>83</v>
      </c>
      <c r="J232" t="s">
        <v>93</v>
      </c>
      <c r="K232">
        <v>3</v>
      </c>
      <c r="L232">
        <v>688</v>
      </c>
      <c r="M232">
        <v>0.05</v>
      </c>
      <c r="N232">
        <v>1960.8</v>
      </c>
      <c r="O232">
        <v>429.42</v>
      </c>
      <c r="P232" t="s">
        <v>45</v>
      </c>
      <c r="Q232" t="s">
        <v>46</v>
      </c>
    </row>
    <row r="233" spans="1:17" x14ac:dyDescent="0.35">
      <c r="A233" t="s">
        <v>415</v>
      </c>
      <c r="B233" s="1">
        <v>45645</v>
      </c>
      <c r="C233" s="1">
        <v>45651</v>
      </c>
      <c r="D233" t="s">
        <v>161</v>
      </c>
      <c r="E233" t="s">
        <v>19</v>
      </c>
      <c r="F233" t="s">
        <v>49</v>
      </c>
      <c r="G233" t="s">
        <v>68</v>
      </c>
      <c r="H233" t="s">
        <v>22</v>
      </c>
      <c r="I233" t="s">
        <v>75</v>
      </c>
      <c r="J233" t="s">
        <v>96</v>
      </c>
      <c r="K233">
        <v>6</v>
      </c>
      <c r="L233">
        <v>735</v>
      </c>
      <c r="M233">
        <v>0.1</v>
      </c>
      <c r="N233">
        <v>3969</v>
      </c>
      <c r="O233">
        <v>468.34</v>
      </c>
      <c r="P233" t="s">
        <v>52</v>
      </c>
      <c r="Q233" t="s">
        <v>53</v>
      </c>
    </row>
    <row r="234" spans="1:17" x14ac:dyDescent="0.35">
      <c r="A234" t="s">
        <v>416</v>
      </c>
      <c r="B234" s="1">
        <v>45646</v>
      </c>
      <c r="C234" s="1">
        <v>45647</v>
      </c>
      <c r="D234" t="s">
        <v>163</v>
      </c>
      <c r="E234" t="s">
        <v>29</v>
      </c>
      <c r="F234" t="s">
        <v>20</v>
      </c>
      <c r="G234" t="s">
        <v>21</v>
      </c>
      <c r="H234" t="s">
        <v>32</v>
      </c>
      <c r="I234" t="s">
        <v>79</v>
      </c>
      <c r="J234" t="s">
        <v>99</v>
      </c>
      <c r="K234">
        <v>1</v>
      </c>
      <c r="L234">
        <v>782</v>
      </c>
      <c r="M234">
        <v>0.15</v>
      </c>
      <c r="N234">
        <v>664.7</v>
      </c>
      <c r="O234">
        <v>130.94999999999999</v>
      </c>
      <c r="P234" t="s">
        <v>25</v>
      </c>
      <c r="Q234" t="s">
        <v>26</v>
      </c>
    </row>
    <row r="235" spans="1:17" x14ac:dyDescent="0.35">
      <c r="A235" t="s">
        <v>417</v>
      </c>
      <c r="B235" s="1">
        <v>45648</v>
      </c>
      <c r="C235" s="1">
        <v>45652</v>
      </c>
      <c r="D235" t="s">
        <v>165</v>
      </c>
      <c r="E235" t="s">
        <v>39</v>
      </c>
      <c r="F235" t="s">
        <v>30</v>
      </c>
      <c r="G235" t="s">
        <v>31</v>
      </c>
      <c r="H235" t="s">
        <v>42</v>
      </c>
      <c r="I235" t="s">
        <v>83</v>
      </c>
      <c r="J235" t="s">
        <v>102</v>
      </c>
      <c r="K235">
        <v>4</v>
      </c>
      <c r="L235">
        <v>49</v>
      </c>
      <c r="M235">
        <v>0.2</v>
      </c>
      <c r="N235">
        <v>156.80000000000001</v>
      </c>
      <c r="O235">
        <v>19.760000000000002</v>
      </c>
      <c r="P235" t="s">
        <v>35</v>
      </c>
      <c r="Q235" t="s">
        <v>36</v>
      </c>
    </row>
    <row r="236" spans="1:17" x14ac:dyDescent="0.35">
      <c r="A236" t="s">
        <v>418</v>
      </c>
      <c r="B236" s="1">
        <v>45649</v>
      </c>
      <c r="C236" s="1">
        <v>45656</v>
      </c>
      <c r="D236" t="s">
        <v>167</v>
      </c>
      <c r="E236" t="s">
        <v>19</v>
      </c>
      <c r="F236" t="s">
        <v>40</v>
      </c>
      <c r="G236" t="s">
        <v>41</v>
      </c>
      <c r="H236" t="s">
        <v>22</v>
      </c>
      <c r="I236" t="s">
        <v>105</v>
      </c>
      <c r="J236" t="s">
        <v>106</v>
      </c>
      <c r="K236">
        <v>7</v>
      </c>
      <c r="L236">
        <v>96</v>
      </c>
      <c r="M236">
        <v>0</v>
      </c>
      <c r="N236">
        <v>672</v>
      </c>
      <c r="O236">
        <v>120.96</v>
      </c>
      <c r="P236" t="s">
        <v>45</v>
      </c>
      <c r="Q236" t="s">
        <v>46</v>
      </c>
    </row>
    <row r="237" spans="1:17" x14ac:dyDescent="0.35">
      <c r="A237" t="s">
        <v>419</v>
      </c>
      <c r="B237" s="1">
        <v>45651</v>
      </c>
      <c r="C237" s="1">
        <v>45653</v>
      </c>
      <c r="D237" t="s">
        <v>170</v>
      </c>
      <c r="E237" t="s">
        <v>29</v>
      </c>
      <c r="F237" t="s">
        <v>49</v>
      </c>
      <c r="G237" t="s">
        <v>50</v>
      </c>
      <c r="H237" t="s">
        <v>32</v>
      </c>
      <c r="I237" t="s">
        <v>109</v>
      </c>
      <c r="J237" t="s">
        <v>110</v>
      </c>
      <c r="K237">
        <v>2</v>
      </c>
      <c r="L237">
        <v>143</v>
      </c>
      <c r="M237">
        <v>0</v>
      </c>
      <c r="N237">
        <v>286</v>
      </c>
      <c r="O237">
        <v>82.94</v>
      </c>
      <c r="P237" t="s">
        <v>52</v>
      </c>
      <c r="Q237" t="s">
        <v>53</v>
      </c>
    </row>
    <row r="238" spans="1:17" x14ac:dyDescent="0.35">
      <c r="A238" t="s">
        <v>420</v>
      </c>
      <c r="B238" s="1">
        <v>45652</v>
      </c>
      <c r="C238" s="1">
        <v>45657</v>
      </c>
      <c r="D238" t="s">
        <v>173</v>
      </c>
      <c r="E238" t="s">
        <v>39</v>
      </c>
      <c r="F238" t="s">
        <v>20</v>
      </c>
      <c r="G238" t="s">
        <v>56</v>
      </c>
      <c r="H238" t="s">
        <v>42</v>
      </c>
      <c r="I238" t="s">
        <v>113</v>
      </c>
      <c r="J238" t="s">
        <v>114</v>
      </c>
      <c r="K238">
        <v>5</v>
      </c>
      <c r="L238">
        <v>190</v>
      </c>
      <c r="M238">
        <v>0.05</v>
      </c>
      <c r="N238">
        <v>902.5</v>
      </c>
      <c r="O238">
        <v>197.65</v>
      </c>
      <c r="P238" t="s">
        <v>25</v>
      </c>
      <c r="Q238" t="s">
        <v>26</v>
      </c>
    </row>
    <row r="239" spans="1:17" x14ac:dyDescent="0.35">
      <c r="A239" t="s">
        <v>421</v>
      </c>
      <c r="B239" s="1">
        <v>45654</v>
      </c>
      <c r="C239" s="1">
        <v>45662</v>
      </c>
      <c r="D239" t="s">
        <v>176</v>
      </c>
      <c r="E239" t="s">
        <v>19</v>
      </c>
      <c r="F239" t="s">
        <v>30</v>
      </c>
      <c r="G239" t="s">
        <v>60</v>
      </c>
      <c r="H239" t="s">
        <v>22</v>
      </c>
      <c r="I239" t="s">
        <v>105</v>
      </c>
      <c r="J239" t="s">
        <v>117</v>
      </c>
      <c r="K239">
        <v>8</v>
      </c>
      <c r="L239">
        <v>237</v>
      </c>
      <c r="M239">
        <v>0.1</v>
      </c>
      <c r="N239">
        <v>1706.4</v>
      </c>
      <c r="O239">
        <v>201.36</v>
      </c>
      <c r="P239" t="s">
        <v>35</v>
      </c>
      <c r="Q239" t="s">
        <v>36</v>
      </c>
    </row>
    <row r="240" spans="1:17" x14ac:dyDescent="0.35">
      <c r="A240" t="s">
        <v>422</v>
      </c>
      <c r="B240" s="1">
        <v>45655</v>
      </c>
      <c r="C240" s="1">
        <v>45658</v>
      </c>
      <c r="D240" t="s">
        <v>178</v>
      </c>
      <c r="E240" t="s">
        <v>29</v>
      </c>
      <c r="F240" t="s">
        <v>40</v>
      </c>
      <c r="G240" t="s">
        <v>64</v>
      </c>
      <c r="H240" t="s">
        <v>32</v>
      </c>
      <c r="I240" t="s">
        <v>109</v>
      </c>
      <c r="J240" t="s">
        <v>120</v>
      </c>
      <c r="K240">
        <v>3</v>
      </c>
      <c r="L240">
        <v>284</v>
      </c>
      <c r="M240">
        <v>0.15</v>
      </c>
      <c r="N240">
        <v>724.2</v>
      </c>
      <c r="O240">
        <v>142.66999999999999</v>
      </c>
      <c r="P240" t="s">
        <v>45</v>
      </c>
      <c r="Q240" t="s">
        <v>46</v>
      </c>
    </row>
    <row r="241" spans="1:17" x14ac:dyDescent="0.35">
      <c r="A241" t="s">
        <v>423</v>
      </c>
      <c r="B241" s="1">
        <v>45657</v>
      </c>
      <c r="C241" s="1">
        <v>45663</v>
      </c>
      <c r="D241" t="s">
        <v>180</v>
      </c>
      <c r="E241" t="s">
        <v>39</v>
      </c>
      <c r="F241" t="s">
        <v>49</v>
      </c>
      <c r="G241" t="s">
        <v>68</v>
      </c>
      <c r="H241" t="s">
        <v>42</v>
      </c>
      <c r="I241" t="s">
        <v>113</v>
      </c>
      <c r="J241" t="s">
        <v>123</v>
      </c>
      <c r="K241">
        <v>6</v>
      </c>
      <c r="L241">
        <v>331</v>
      </c>
      <c r="M241">
        <v>0.2</v>
      </c>
      <c r="N241">
        <v>1588.8</v>
      </c>
      <c r="O241">
        <v>200.19</v>
      </c>
      <c r="P241" t="s">
        <v>52</v>
      </c>
      <c r="Q241" t="s">
        <v>53</v>
      </c>
    </row>
    <row r="242" spans="1:17" x14ac:dyDescent="0.35">
      <c r="A242" t="s">
        <v>424</v>
      </c>
      <c r="B242" s="1">
        <v>45658</v>
      </c>
      <c r="C242" s="1">
        <v>45659</v>
      </c>
      <c r="D242" t="s">
        <v>182</v>
      </c>
      <c r="E242" t="s">
        <v>19</v>
      </c>
      <c r="F242" t="s">
        <v>20</v>
      </c>
      <c r="G242" t="s">
        <v>21</v>
      </c>
      <c r="H242" t="s">
        <v>22</v>
      </c>
      <c r="I242" t="s">
        <v>105</v>
      </c>
      <c r="J242" t="s">
        <v>126</v>
      </c>
      <c r="K242">
        <v>1</v>
      </c>
      <c r="L242">
        <v>378</v>
      </c>
      <c r="M242">
        <v>0</v>
      </c>
      <c r="N242">
        <v>378</v>
      </c>
      <c r="O242">
        <v>68.040000000000006</v>
      </c>
      <c r="P242" t="s">
        <v>25</v>
      </c>
      <c r="Q242" t="s">
        <v>26</v>
      </c>
    </row>
    <row r="243" spans="1:17" x14ac:dyDescent="0.35">
      <c r="A243" t="s">
        <v>425</v>
      </c>
      <c r="B243" s="1">
        <v>45660</v>
      </c>
      <c r="C243" s="1">
        <v>45664</v>
      </c>
      <c r="D243" t="s">
        <v>184</v>
      </c>
      <c r="E243" t="s">
        <v>29</v>
      </c>
      <c r="F243" t="s">
        <v>30</v>
      </c>
      <c r="G243" t="s">
        <v>31</v>
      </c>
      <c r="H243" t="s">
        <v>32</v>
      </c>
      <c r="I243" t="s">
        <v>109</v>
      </c>
      <c r="J243" t="s">
        <v>129</v>
      </c>
      <c r="K243">
        <v>4</v>
      </c>
      <c r="L243">
        <v>425</v>
      </c>
      <c r="M243">
        <v>0</v>
      </c>
      <c r="N243">
        <v>1700</v>
      </c>
      <c r="O243">
        <v>493</v>
      </c>
      <c r="P243" t="s">
        <v>35</v>
      </c>
      <c r="Q243" t="s">
        <v>36</v>
      </c>
    </row>
    <row r="244" spans="1:17" x14ac:dyDescent="0.35">
      <c r="A244" t="s">
        <v>426</v>
      </c>
      <c r="B244" s="1">
        <v>45661</v>
      </c>
      <c r="C244" s="1">
        <v>45668</v>
      </c>
      <c r="D244" t="s">
        <v>186</v>
      </c>
      <c r="E244" t="s">
        <v>39</v>
      </c>
      <c r="F244" t="s">
        <v>40</v>
      </c>
      <c r="G244" t="s">
        <v>41</v>
      </c>
      <c r="H244" t="s">
        <v>42</v>
      </c>
      <c r="I244" t="s">
        <v>113</v>
      </c>
      <c r="J244" t="s">
        <v>132</v>
      </c>
      <c r="K244">
        <v>7</v>
      </c>
      <c r="L244">
        <v>472</v>
      </c>
      <c r="M244">
        <v>0.05</v>
      </c>
      <c r="N244">
        <v>3138.8</v>
      </c>
      <c r="O244">
        <v>687.4</v>
      </c>
      <c r="P244" t="s">
        <v>45</v>
      </c>
      <c r="Q244" t="s">
        <v>46</v>
      </c>
    </row>
    <row r="245" spans="1:17" x14ac:dyDescent="0.35">
      <c r="A245" t="s">
        <v>427</v>
      </c>
      <c r="B245" s="1">
        <v>45663</v>
      </c>
      <c r="C245" s="1">
        <v>45665</v>
      </c>
      <c r="D245" t="s">
        <v>188</v>
      </c>
      <c r="E245" t="s">
        <v>19</v>
      </c>
      <c r="F245" t="s">
        <v>49</v>
      </c>
      <c r="G245" t="s">
        <v>50</v>
      </c>
      <c r="H245" t="s">
        <v>22</v>
      </c>
      <c r="I245" t="s">
        <v>23</v>
      </c>
      <c r="J245" t="s">
        <v>51</v>
      </c>
      <c r="K245">
        <v>2</v>
      </c>
      <c r="L245">
        <v>519</v>
      </c>
      <c r="M245">
        <v>0.1</v>
      </c>
      <c r="N245">
        <v>934.2</v>
      </c>
      <c r="O245">
        <v>110.24</v>
      </c>
      <c r="P245" t="s">
        <v>52</v>
      </c>
      <c r="Q245" t="s">
        <v>53</v>
      </c>
    </row>
    <row r="246" spans="1:17" x14ac:dyDescent="0.35">
      <c r="A246" t="s">
        <v>428</v>
      </c>
      <c r="B246" s="1">
        <v>45664</v>
      </c>
      <c r="C246" s="1">
        <v>45669</v>
      </c>
      <c r="D246" t="s">
        <v>191</v>
      </c>
      <c r="E246" t="s">
        <v>29</v>
      </c>
      <c r="F246" t="s">
        <v>20</v>
      </c>
      <c r="G246" t="s">
        <v>56</v>
      </c>
      <c r="H246" t="s">
        <v>32</v>
      </c>
      <c r="I246" t="s">
        <v>33</v>
      </c>
      <c r="J246" t="s">
        <v>57</v>
      </c>
      <c r="K246">
        <v>5</v>
      </c>
      <c r="L246">
        <v>566</v>
      </c>
      <c r="M246">
        <v>0.15</v>
      </c>
      <c r="N246">
        <v>2405.5</v>
      </c>
      <c r="O246">
        <v>473.88</v>
      </c>
      <c r="P246" t="s">
        <v>25</v>
      </c>
      <c r="Q246" t="s">
        <v>26</v>
      </c>
    </row>
    <row r="247" spans="1:17" x14ac:dyDescent="0.35">
      <c r="A247" t="s">
        <v>429</v>
      </c>
      <c r="B247" s="1">
        <v>45666</v>
      </c>
      <c r="C247" s="1">
        <v>45674</v>
      </c>
      <c r="D247" t="s">
        <v>194</v>
      </c>
      <c r="E247" t="s">
        <v>39</v>
      </c>
      <c r="F247" t="s">
        <v>30</v>
      </c>
      <c r="G247" t="s">
        <v>60</v>
      </c>
      <c r="H247" t="s">
        <v>42</v>
      </c>
      <c r="I247" t="s">
        <v>43</v>
      </c>
      <c r="J247" t="s">
        <v>61</v>
      </c>
      <c r="K247">
        <v>8</v>
      </c>
      <c r="L247">
        <v>613</v>
      </c>
      <c r="M247">
        <v>0.2</v>
      </c>
      <c r="N247">
        <v>3923.2</v>
      </c>
      <c r="O247">
        <v>494.32</v>
      </c>
      <c r="P247" t="s">
        <v>35</v>
      </c>
      <c r="Q247" t="s">
        <v>36</v>
      </c>
    </row>
    <row r="248" spans="1:17" x14ac:dyDescent="0.35">
      <c r="A248" t="s">
        <v>430</v>
      </c>
      <c r="B248" s="1">
        <v>45667</v>
      </c>
      <c r="C248" s="1">
        <v>45670</v>
      </c>
      <c r="D248" t="s">
        <v>197</v>
      </c>
      <c r="E248" t="s">
        <v>19</v>
      </c>
      <c r="F248" t="s">
        <v>40</v>
      </c>
      <c r="G248" t="s">
        <v>64</v>
      </c>
      <c r="H248" t="s">
        <v>22</v>
      </c>
      <c r="I248" t="s">
        <v>23</v>
      </c>
      <c r="J248" t="s">
        <v>65</v>
      </c>
      <c r="K248">
        <v>3</v>
      </c>
      <c r="L248">
        <v>660</v>
      </c>
      <c r="M248">
        <v>0</v>
      </c>
      <c r="N248">
        <v>1980</v>
      </c>
      <c r="O248">
        <v>356.4</v>
      </c>
      <c r="P248" t="s">
        <v>45</v>
      </c>
      <c r="Q248" t="s">
        <v>46</v>
      </c>
    </row>
    <row r="249" spans="1:17" x14ac:dyDescent="0.35">
      <c r="A249" t="s">
        <v>431</v>
      </c>
      <c r="B249" s="1">
        <v>45669</v>
      </c>
      <c r="C249" s="1">
        <v>45675</v>
      </c>
      <c r="D249" t="s">
        <v>199</v>
      </c>
      <c r="E249" t="s">
        <v>29</v>
      </c>
      <c r="F249" t="s">
        <v>49</v>
      </c>
      <c r="G249" t="s">
        <v>68</v>
      </c>
      <c r="H249" t="s">
        <v>32</v>
      </c>
      <c r="I249" t="s">
        <v>33</v>
      </c>
      <c r="J249" t="s">
        <v>69</v>
      </c>
      <c r="K249">
        <v>6</v>
      </c>
      <c r="L249">
        <v>707</v>
      </c>
      <c r="M249">
        <v>0</v>
      </c>
      <c r="N249">
        <v>4242</v>
      </c>
      <c r="O249">
        <v>42.42</v>
      </c>
      <c r="P249" t="s">
        <v>52</v>
      </c>
      <c r="Q249" t="s">
        <v>53</v>
      </c>
    </row>
    <row r="250" spans="1:17" x14ac:dyDescent="0.35">
      <c r="A250" t="s">
        <v>432</v>
      </c>
      <c r="B250" s="1">
        <v>45670</v>
      </c>
      <c r="C250" s="1">
        <v>45671</v>
      </c>
      <c r="D250" t="s">
        <v>201</v>
      </c>
      <c r="E250" t="s">
        <v>39</v>
      </c>
      <c r="F250" t="s">
        <v>20</v>
      </c>
      <c r="G250" t="s">
        <v>21</v>
      </c>
      <c r="H250" t="s">
        <v>42</v>
      </c>
      <c r="I250" t="s">
        <v>43</v>
      </c>
      <c r="J250" t="s">
        <v>72</v>
      </c>
      <c r="K250">
        <v>1</v>
      </c>
      <c r="L250">
        <v>754</v>
      </c>
      <c r="M250">
        <v>0.05</v>
      </c>
      <c r="N250">
        <v>716.3</v>
      </c>
      <c r="O250">
        <v>156.87</v>
      </c>
      <c r="P250" t="s">
        <v>25</v>
      </c>
      <c r="Q250" t="s">
        <v>26</v>
      </c>
    </row>
    <row r="251" spans="1:17" x14ac:dyDescent="0.35">
      <c r="A251" t="s">
        <v>433</v>
      </c>
      <c r="B251" s="1">
        <v>45672</v>
      </c>
      <c r="C251" s="1">
        <v>45676</v>
      </c>
      <c r="D251" t="s">
        <v>203</v>
      </c>
      <c r="E251" t="s">
        <v>19</v>
      </c>
      <c r="F251" t="s">
        <v>30</v>
      </c>
      <c r="G251" t="s">
        <v>31</v>
      </c>
      <c r="H251" t="s">
        <v>22</v>
      </c>
      <c r="I251" t="s">
        <v>23</v>
      </c>
      <c r="J251" t="s">
        <v>147</v>
      </c>
      <c r="K251">
        <v>4</v>
      </c>
      <c r="L251">
        <v>21</v>
      </c>
      <c r="M251">
        <v>0.1</v>
      </c>
      <c r="N251">
        <v>75.599999999999994</v>
      </c>
      <c r="O251">
        <v>8.92</v>
      </c>
      <c r="P251" t="s">
        <v>35</v>
      </c>
      <c r="Q251" t="s">
        <v>36</v>
      </c>
    </row>
    <row r="252" spans="1:17" x14ac:dyDescent="0.35">
      <c r="A252" t="s">
        <v>434</v>
      </c>
      <c r="B252" s="1">
        <v>45673</v>
      </c>
      <c r="C252" s="1">
        <v>45680</v>
      </c>
      <c r="D252" t="s">
        <v>205</v>
      </c>
      <c r="E252" t="s">
        <v>29</v>
      </c>
      <c r="F252" t="s">
        <v>40</v>
      </c>
      <c r="G252" t="s">
        <v>41</v>
      </c>
      <c r="H252" t="s">
        <v>32</v>
      </c>
      <c r="I252" t="s">
        <v>33</v>
      </c>
      <c r="J252" t="s">
        <v>150</v>
      </c>
      <c r="K252">
        <v>7</v>
      </c>
      <c r="L252">
        <v>68</v>
      </c>
      <c r="M252">
        <v>0.15</v>
      </c>
      <c r="N252">
        <v>404.6</v>
      </c>
      <c r="O252">
        <v>79.709999999999994</v>
      </c>
      <c r="P252" t="s">
        <v>45</v>
      </c>
      <c r="Q252" t="s">
        <v>46</v>
      </c>
    </row>
    <row r="253" spans="1:17" x14ac:dyDescent="0.35">
      <c r="A253" t="s">
        <v>435</v>
      </c>
      <c r="B253" s="1">
        <v>45675</v>
      </c>
      <c r="C253" s="1">
        <v>45677</v>
      </c>
      <c r="D253" t="s">
        <v>207</v>
      </c>
      <c r="E253" t="s">
        <v>39</v>
      </c>
      <c r="F253" t="s">
        <v>49</v>
      </c>
      <c r="G253" t="s">
        <v>50</v>
      </c>
      <c r="H253" t="s">
        <v>42</v>
      </c>
      <c r="I253" t="s">
        <v>43</v>
      </c>
      <c r="J253" t="s">
        <v>153</v>
      </c>
      <c r="K253">
        <v>2</v>
      </c>
      <c r="L253">
        <v>115</v>
      </c>
      <c r="M253">
        <v>0.2</v>
      </c>
      <c r="N253">
        <v>184</v>
      </c>
      <c r="O253">
        <v>23.18</v>
      </c>
      <c r="P253" t="s">
        <v>52</v>
      </c>
      <c r="Q253" t="s">
        <v>53</v>
      </c>
    </row>
    <row r="254" spans="1:17" x14ac:dyDescent="0.35">
      <c r="A254" t="s">
        <v>436</v>
      </c>
      <c r="B254" s="1">
        <v>45676</v>
      </c>
      <c r="C254" s="1">
        <v>45681</v>
      </c>
      <c r="D254" t="s">
        <v>209</v>
      </c>
      <c r="E254" t="s">
        <v>19</v>
      </c>
      <c r="F254" t="s">
        <v>20</v>
      </c>
      <c r="G254" t="s">
        <v>56</v>
      </c>
      <c r="H254" t="s">
        <v>22</v>
      </c>
      <c r="I254" t="s">
        <v>75</v>
      </c>
      <c r="J254" t="s">
        <v>87</v>
      </c>
      <c r="K254">
        <v>5</v>
      </c>
      <c r="L254">
        <v>162</v>
      </c>
      <c r="M254">
        <v>0</v>
      </c>
      <c r="N254">
        <v>810</v>
      </c>
      <c r="O254">
        <v>145.80000000000001</v>
      </c>
      <c r="P254" t="s">
        <v>25</v>
      </c>
      <c r="Q254" t="s">
        <v>26</v>
      </c>
    </row>
    <row r="255" spans="1:17" x14ac:dyDescent="0.35">
      <c r="A255" t="s">
        <v>437</v>
      </c>
      <c r="B255" s="1">
        <v>45678</v>
      </c>
      <c r="C255" s="1">
        <v>45686</v>
      </c>
      <c r="D255" t="s">
        <v>211</v>
      </c>
      <c r="E255" t="s">
        <v>29</v>
      </c>
      <c r="F255" t="s">
        <v>30</v>
      </c>
      <c r="G255" t="s">
        <v>60</v>
      </c>
      <c r="H255" t="s">
        <v>32</v>
      </c>
      <c r="I255" t="s">
        <v>79</v>
      </c>
      <c r="J255" t="s">
        <v>90</v>
      </c>
      <c r="K255">
        <v>8</v>
      </c>
      <c r="L255">
        <v>209</v>
      </c>
      <c r="M255">
        <v>0</v>
      </c>
      <c r="N255">
        <v>1672</v>
      </c>
      <c r="O255">
        <v>484.88</v>
      </c>
      <c r="P255" t="s">
        <v>35</v>
      </c>
      <c r="Q255" t="s">
        <v>36</v>
      </c>
    </row>
    <row r="256" spans="1:17" x14ac:dyDescent="0.35">
      <c r="A256" t="s">
        <v>438</v>
      </c>
      <c r="B256" s="1">
        <v>45680</v>
      </c>
      <c r="C256" s="1">
        <v>45683</v>
      </c>
      <c r="D256" t="s">
        <v>213</v>
      </c>
      <c r="E256" t="s">
        <v>39</v>
      </c>
      <c r="F256" t="s">
        <v>40</v>
      </c>
      <c r="G256" t="s">
        <v>64</v>
      </c>
      <c r="H256" t="s">
        <v>42</v>
      </c>
      <c r="I256" t="s">
        <v>83</v>
      </c>
      <c r="J256" t="s">
        <v>93</v>
      </c>
      <c r="K256">
        <v>3</v>
      </c>
      <c r="L256">
        <v>256</v>
      </c>
      <c r="M256">
        <v>0.05</v>
      </c>
      <c r="N256">
        <v>729.6</v>
      </c>
      <c r="O256">
        <v>159.78</v>
      </c>
      <c r="P256" t="s">
        <v>45</v>
      </c>
      <c r="Q256" t="s">
        <v>46</v>
      </c>
    </row>
    <row r="257" spans="1:17" x14ac:dyDescent="0.35">
      <c r="A257" t="s">
        <v>439</v>
      </c>
      <c r="B257" s="1">
        <v>45681</v>
      </c>
      <c r="C257" s="1">
        <v>45687</v>
      </c>
      <c r="D257" t="s">
        <v>215</v>
      </c>
      <c r="E257" t="s">
        <v>19</v>
      </c>
      <c r="F257" t="s">
        <v>49</v>
      </c>
      <c r="G257" t="s">
        <v>68</v>
      </c>
      <c r="H257" t="s">
        <v>22</v>
      </c>
      <c r="I257" t="s">
        <v>75</v>
      </c>
      <c r="J257" t="s">
        <v>96</v>
      </c>
      <c r="K257">
        <v>6</v>
      </c>
      <c r="L257">
        <v>303</v>
      </c>
      <c r="M257">
        <v>0.1</v>
      </c>
      <c r="N257">
        <v>1636.2</v>
      </c>
      <c r="O257">
        <v>193.07</v>
      </c>
      <c r="P257" t="s">
        <v>52</v>
      </c>
      <c r="Q257" t="s">
        <v>53</v>
      </c>
    </row>
    <row r="258" spans="1:17" x14ac:dyDescent="0.35">
      <c r="A258" t="s">
        <v>440</v>
      </c>
      <c r="B258" s="1">
        <v>45683</v>
      </c>
      <c r="C258" s="1">
        <v>45684</v>
      </c>
      <c r="D258" t="s">
        <v>217</v>
      </c>
      <c r="E258" t="s">
        <v>29</v>
      </c>
      <c r="F258" t="s">
        <v>20</v>
      </c>
      <c r="G258" t="s">
        <v>21</v>
      </c>
      <c r="H258" t="s">
        <v>32</v>
      </c>
      <c r="I258" t="s">
        <v>79</v>
      </c>
      <c r="J258" t="s">
        <v>99</v>
      </c>
      <c r="K258">
        <v>1</v>
      </c>
      <c r="L258">
        <v>350</v>
      </c>
      <c r="M258">
        <v>0.15</v>
      </c>
      <c r="N258">
        <v>297.5</v>
      </c>
      <c r="O258">
        <v>58.61</v>
      </c>
      <c r="P258" t="s">
        <v>25</v>
      </c>
      <c r="Q258" t="s">
        <v>26</v>
      </c>
    </row>
    <row r="259" spans="1:17" x14ac:dyDescent="0.35">
      <c r="A259" t="s">
        <v>441</v>
      </c>
      <c r="B259" s="1">
        <v>45684</v>
      </c>
      <c r="C259" s="1">
        <v>45688</v>
      </c>
      <c r="D259" t="s">
        <v>219</v>
      </c>
      <c r="E259" t="s">
        <v>39</v>
      </c>
      <c r="F259" t="s">
        <v>30</v>
      </c>
      <c r="G259" t="s">
        <v>31</v>
      </c>
      <c r="H259" t="s">
        <v>42</v>
      </c>
      <c r="I259" t="s">
        <v>83</v>
      </c>
      <c r="J259" t="s">
        <v>102</v>
      </c>
      <c r="K259">
        <v>4</v>
      </c>
      <c r="L259">
        <v>397</v>
      </c>
      <c r="M259">
        <v>0.2</v>
      </c>
      <c r="N259">
        <v>1270.4000000000001</v>
      </c>
      <c r="O259">
        <v>160.07</v>
      </c>
      <c r="P259" t="s">
        <v>35</v>
      </c>
      <c r="Q259" t="s">
        <v>36</v>
      </c>
    </row>
    <row r="260" spans="1:17" x14ac:dyDescent="0.35">
      <c r="A260" t="s">
        <v>442</v>
      </c>
      <c r="B260" s="1">
        <v>45686</v>
      </c>
      <c r="C260" s="1">
        <v>45693</v>
      </c>
      <c r="D260" t="s">
        <v>221</v>
      </c>
      <c r="E260" t="s">
        <v>19</v>
      </c>
      <c r="F260" t="s">
        <v>40</v>
      </c>
      <c r="G260" t="s">
        <v>41</v>
      </c>
      <c r="H260" t="s">
        <v>22</v>
      </c>
      <c r="I260" t="s">
        <v>75</v>
      </c>
      <c r="J260" t="s">
        <v>168</v>
      </c>
      <c r="K260">
        <v>7</v>
      </c>
      <c r="L260">
        <v>444</v>
      </c>
      <c r="M260">
        <v>0</v>
      </c>
      <c r="N260">
        <v>3108</v>
      </c>
      <c r="O260">
        <v>559.44000000000005</v>
      </c>
      <c r="P260" t="s">
        <v>45</v>
      </c>
      <c r="Q260" t="s">
        <v>46</v>
      </c>
    </row>
    <row r="261" spans="1:17" x14ac:dyDescent="0.35">
      <c r="A261" t="s">
        <v>443</v>
      </c>
      <c r="B261" s="1">
        <v>45687</v>
      </c>
      <c r="C261" s="1">
        <v>45689</v>
      </c>
      <c r="D261" t="s">
        <v>223</v>
      </c>
      <c r="E261" t="s">
        <v>29</v>
      </c>
      <c r="F261" t="s">
        <v>49</v>
      </c>
      <c r="G261" t="s">
        <v>50</v>
      </c>
      <c r="H261" t="s">
        <v>32</v>
      </c>
      <c r="I261" t="s">
        <v>79</v>
      </c>
      <c r="J261" t="s">
        <v>171</v>
      </c>
      <c r="K261">
        <v>2</v>
      </c>
      <c r="L261">
        <v>491</v>
      </c>
      <c r="M261">
        <v>0</v>
      </c>
      <c r="N261">
        <v>982</v>
      </c>
      <c r="O261">
        <v>284.77999999999997</v>
      </c>
      <c r="P261" t="s">
        <v>52</v>
      </c>
      <c r="Q261" t="s">
        <v>53</v>
      </c>
    </row>
    <row r="262" spans="1:17" x14ac:dyDescent="0.35">
      <c r="A262" t="s">
        <v>444</v>
      </c>
      <c r="B262" s="1">
        <v>45689</v>
      </c>
      <c r="C262" s="1">
        <v>45694</v>
      </c>
      <c r="D262" t="s">
        <v>225</v>
      </c>
      <c r="E262" t="s">
        <v>39</v>
      </c>
      <c r="F262" t="s">
        <v>20</v>
      </c>
      <c r="G262" t="s">
        <v>56</v>
      </c>
      <c r="H262" t="s">
        <v>42</v>
      </c>
      <c r="I262" t="s">
        <v>83</v>
      </c>
      <c r="J262" t="s">
        <v>174</v>
      </c>
      <c r="K262">
        <v>5</v>
      </c>
      <c r="L262">
        <v>538</v>
      </c>
      <c r="M262">
        <v>0.05</v>
      </c>
      <c r="N262">
        <v>2555.5</v>
      </c>
      <c r="O262">
        <v>559.65</v>
      </c>
      <c r="P262" t="s">
        <v>25</v>
      </c>
      <c r="Q262" t="s">
        <v>26</v>
      </c>
    </row>
    <row r="263" spans="1:17" x14ac:dyDescent="0.35">
      <c r="A263" t="s">
        <v>445</v>
      </c>
      <c r="B263" s="1">
        <v>45690</v>
      </c>
      <c r="C263" s="1">
        <v>45698</v>
      </c>
      <c r="D263" t="s">
        <v>227</v>
      </c>
      <c r="E263" t="s">
        <v>19</v>
      </c>
      <c r="F263" t="s">
        <v>30</v>
      </c>
      <c r="G263" t="s">
        <v>60</v>
      </c>
      <c r="H263" t="s">
        <v>22</v>
      </c>
      <c r="I263" t="s">
        <v>105</v>
      </c>
      <c r="J263" t="s">
        <v>117</v>
      </c>
      <c r="K263">
        <v>8</v>
      </c>
      <c r="L263">
        <v>585</v>
      </c>
      <c r="M263">
        <v>0.1</v>
      </c>
      <c r="N263">
        <v>4212</v>
      </c>
      <c r="O263">
        <v>497.02</v>
      </c>
      <c r="P263" t="s">
        <v>35</v>
      </c>
      <c r="Q263" t="s">
        <v>36</v>
      </c>
    </row>
    <row r="264" spans="1:17" x14ac:dyDescent="0.35">
      <c r="A264" t="s">
        <v>446</v>
      </c>
      <c r="B264" s="1">
        <v>45692</v>
      </c>
      <c r="C264" s="1">
        <v>45695</v>
      </c>
      <c r="D264" t="s">
        <v>229</v>
      </c>
      <c r="E264" t="s">
        <v>29</v>
      </c>
      <c r="F264" t="s">
        <v>40</v>
      </c>
      <c r="G264" t="s">
        <v>64</v>
      </c>
      <c r="H264" t="s">
        <v>32</v>
      </c>
      <c r="I264" t="s">
        <v>109</v>
      </c>
      <c r="J264" t="s">
        <v>120</v>
      </c>
      <c r="K264">
        <v>3</v>
      </c>
      <c r="L264">
        <v>632</v>
      </c>
      <c r="M264">
        <v>0.15</v>
      </c>
      <c r="N264">
        <v>1611.6</v>
      </c>
      <c r="O264">
        <v>317.49</v>
      </c>
      <c r="P264" t="s">
        <v>45</v>
      </c>
      <c r="Q264" t="s">
        <v>46</v>
      </c>
    </row>
    <row r="265" spans="1:17" x14ac:dyDescent="0.35">
      <c r="A265" t="s">
        <v>447</v>
      </c>
      <c r="B265" s="1">
        <v>45693</v>
      </c>
      <c r="C265" s="1">
        <v>45699</v>
      </c>
      <c r="D265" t="s">
        <v>231</v>
      </c>
      <c r="E265" t="s">
        <v>39</v>
      </c>
      <c r="F265" t="s">
        <v>49</v>
      </c>
      <c r="G265" t="s">
        <v>68</v>
      </c>
      <c r="H265" t="s">
        <v>42</v>
      </c>
      <c r="I265" t="s">
        <v>113</v>
      </c>
      <c r="J265" t="s">
        <v>123</v>
      </c>
      <c r="K265">
        <v>6</v>
      </c>
      <c r="L265">
        <v>679</v>
      </c>
      <c r="M265">
        <v>0.2</v>
      </c>
      <c r="N265">
        <v>3259.2</v>
      </c>
      <c r="O265">
        <v>410.66</v>
      </c>
      <c r="P265" t="s">
        <v>52</v>
      </c>
      <c r="Q265" t="s">
        <v>53</v>
      </c>
    </row>
    <row r="266" spans="1:17" x14ac:dyDescent="0.35">
      <c r="A266" t="s">
        <v>448</v>
      </c>
      <c r="B266" s="1">
        <v>45695</v>
      </c>
      <c r="C266" s="1">
        <v>45696</v>
      </c>
      <c r="D266" t="s">
        <v>233</v>
      </c>
      <c r="E266" t="s">
        <v>19</v>
      </c>
      <c r="F266" t="s">
        <v>20</v>
      </c>
      <c r="G266" t="s">
        <v>21</v>
      </c>
      <c r="H266" t="s">
        <v>22</v>
      </c>
      <c r="I266" t="s">
        <v>105</v>
      </c>
      <c r="J266" t="s">
        <v>126</v>
      </c>
      <c r="K266">
        <v>1</v>
      </c>
      <c r="L266">
        <v>726</v>
      </c>
      <c r="M266">
        <v>0</v>
      </c>
      <c r="N266">
        <v>726</v>
      </c>
      <c r="O266">
        <v>130.68</v>
      </c>
      <c r="P266" t="s">
        <v>25</v>
      </c>
      <c r="Q266" t="s">
        <v>26</v>
      </c>
    </row>
    <row r="267" spans="1:17" x14ac:dyDescent="0.35">
      <c r="A267" t="s">
        <v>449</v>
      </c>
      <c r="B267" s="1">
        <v>45696</v>
      </c>
      <c r="C267" s="1">
        <v>45700</v>
      </c>
      <c r="D267" t="s">
        <v>235</v>
      </c>
      <c r="E267" t="s">
        <v>29</v>
      </c>
      <c r="F267" t="s">
        <v>30</v>
      </c>
      <c r="G267" t="s">
        <v>31</v>
      </c>
      <c r="H267" t="s">
        <v>32</v>
      </c>
      <c r="I267" t="s">
        <v>109</v>
      </c>
      <c r="J267" t="s">
        <v>129</v>
      </c>
      <c r="K267">
        <v>4</v>
      </c>
      <c r="L267">
        <v>773</v>
      </c>
      <c r="M267">
        <v>0</v>
      </c>
      <c r="N267">
        <v>3092</v>
      </c>
      <c r="O267">
        <v>896.68</v>
      </c>
      <c r="P267" t="s">
        <v>35</v>
      </c>
      <c r="Q267" t="s">
        <v>36</v>
      </c>
    </row>
    <row r="268" spans="1:17" x14ac:dyDescent="0.35">
      <c r="A268" t="s">
        <v>450</v>
      </c>
      <c r="B268" s="1">
        <v>45698</v>
      </c>
      <c r="C268" s="1">
        <v>45705</v>
      </c>
      <c r="D268" t="s">
        <v>237</v>
      </c>
      <c r="E268" t="s">
        <v>39</v>
      </c>
      <c r="F268" t="s">
        <v>40</v>
      </c>
      <c r="G268" t="s">
        <v>41</v>
      </c>
      <c r="H268" t="s">
        <v>42</v>
      </c>
      <c r="I268" t="s">
        <v>113</v>
      </c>
      <c r="J268" t="s">
        <v>132</v>
      </c>
      <c r="K268">
        <v>7</v>
      </c>
      <c r="L268">
        <v>40</v>
      </c>
      <c r="M268">
        <v>0.05</v>
      </c>
      <c r="N268">
        <v>266</v>
      </c>
      <c r="O268">
        <v>-16.23</v>
      </c>
      <c r="P268" t="s">
        <v>45</v>
      </c>
      <c r="Q268" t="s">
        <v>46</v>
      </c>
    </row>
    <row r="269" spans="1:17" x14ac:dyDescent="0.35">
      <c r="A269" t="s">
        <v>451</v>
      </c>
      <c r="B269" s="1">
        <v>45699</v>
      </c>
      <c r="C269" s="1">
        <v>45701</v>
      </c>
      <c r="D269" t="s">
        <v>239</v>
      </c>
      <c r="E269" t="s">
        <v>19</v>
      </c>
      <c r="F269" t="s">
        <v>49</v>
      </c>
      <c r="G269" t="s">
        <v>50</v>
      </c>
      <c r="H269" t="s">
        <v>22</v>
      </c>
      <c r="I269" t="s">
        <v>105</v>
      </c>
      <c r="J269" t="s">
        <v>189</v>
      </c>
      <c r="K269">
        <v>2</v>
      </c>
      <c r="L269">
        <v>87</v>
      </c>
      <c r="M269">
        <v>0.1</v>
      </c>
      <c r="N269">
        <v>156.6</v>
      </c>
      <c r="O269">
        <v>18.48</v>
      </c>
      <c r="P269" t="s">
        <v>52</v>
      </c>
      <c r="Q269" t="s">
        <v>53</v>
      </c>
    </row>
    <row r="270" spans="1:17" x14ac:dyDescent="0.35">
      <c r="A270" t="s">
        <v>452</v>
      </c>
      <c r="B270" s="1">
        <v>45701</v>
      </c>
      <c r="C270" s="1">
        <v>45706</v>
      </c>
      <c r="D270" t="s">
        <v>241</v>
      </c>
      <c r="E270" t="s">
        <v>29</v>
      </c>
      <c r="F270" t="s">
        <v>20</v>
      </c>
      <c r="G270" t="s">
        <v>56</v>
      </c>
      <c r="H270" t="s">
        <v>32</v>
      </c>
      <c r="I270" t="s">
        <v>109</v>
      </c>
      <c r="J270" t="s">
        <v>192</v>
      </c>
      <c r="K270">
        <v>5</v>
      </c>
      <c r="L270">
        <v>134</v>
      </c>
      <c r="M270">
        <v>0.15</v>
      </c>
      <c r="N270">
        <v>569.5</v>
      </c>
      <c r="O270">
        <v>112.19</v>
      </c>
      <c r="P270" t="s">
        <v>25</v>
      </c>
      <c r="Q270" t="s">
        <v>26</v>
      </c>
    </row>
    <row r="271" spans="1:17" x14ac:dyDescent="0.35">
      <c r="A271" t="s">
        <v>453</v>
      </c>
      <c r="B271" s="1">
        <v>45702</v>
      </c>
      <c r="C271" s="1">
        <v>45710</v>
      </c>
      <c r="D271" t="s">
        <v>243</v>
      </c>
      <c r="E271" t="s">
        <v>39</v>
      </c>
      <c r="F271" t="s">
        <v>30</v>
      </c>
      <c r="G271" t="s">
        <v>60</v>
      </c>
      <c r="H271" t="s">
        <v>42</v>
      </c>
      <c r="I271" t="s">
        <v>113</v>
      </c>
      <c r="J271" t="s">
        <v>195</v>
      </c>
      <c r="K271">
        <v>8</v>
      </c>
      <c r="L271">
        <v>181</v>
      </c>
      <c r="M271">
        <v>0.2</v>
      </c>
      <c r="N271">
        <v>1158.4000000000001</v>
      </c>
      <c r="O271">
        <v>145.96</v>
      </c>
      <c r="P271" t="s">
        <v>35</v>
      </c>
      <c r="Q271" t="s">
        <v>36</v>
      </c>
    </row>
    <row r="272" spans="1:17" x14ac:dyDescent="0.35">
      <c r="A272" t="s">
        <v>454</v>
      </c>
      <c r="B272" s="1">
        <v>45704</v>
      </c>
      <c r="C272" s="1">
        <v>45707</v>
      </c>
      <c r="D272" t="s">
        <v>245</v>
      </c>
      <c r="E272" t="s">
        <v>19</v>
      </c>
      <c r="F272" t="s">
        <v>40</v>
      </c>
      <c r="G272" t="s">
        <v>64</v>
      </c>
      <c r="H272" t="s">
        <v>22</v>
      </c>
      <c r="I272" t="s">
        <v>23</v>
      </c>
      <c r="J272" t="s">
        <v>65</v>
      </c>
      <c r="K272">
        <v>3</v>
      </c>
      <c r="L272">
        <v>228</v>
      </c>
      <c r="M272">
        <v>0</v>
      </c>
      <c r="N272">
        <v>684</v>
      </c>
      <c r="O272">
        <v>123.12</v>
      </c>
      <c r="P272" t="s">
        <v>45</v>
      </c>
      <c r="Q272" t="s">
        <v>46</v>
      </c>
    </row>
    <row r="273" spans="1:17" x14ac:dyDescent="0.35">
      <c r="A273" t="s">
        <v>455</v>
      </c>
      <c r="B273" s="1">
        <v>45705</v>
      </c>
      <c r="C273" s="1">
        <v>45711</v>
      </c>
      <c r="D273" t="s">
        <v>247</v>
      </c>
      <c r="E273" t="s">
        <v>29</v>
      </c>
      <c r="F273" t="s">
        <v>49</v>
      </c>
      <c r="G273" t="s">
        <v>68</v>
      </c>
      <c r="H273" t="s">
        <v>32</v>
      </c>
      <c r="I273" t="s">
        <v>33</v>
      </c>
      <c r="J273" t="s">
        <v>69</v>
      </c>
      <c r="K273">
        <v>6</v>
      </c>
      <c r="L273">
        <v>275</v>
      </c>
      <c r="M273">
        <v>0</v>
      </c>
      <c r="N273">
        <v>1650</v>
      </c>
      <c r="O273">
        <v>478.5</v>
      </c>
      <c r="P273" t="s">
        <v>52</v>
      </c>
      <c r="Q273" t="s">
        <v>53</v>
      </c>
    </row>
    <row r="274" spans="1:17" x14ac:dyDescent="0.35">
      <c r="A274" t="s">
        <v>456</v>
      </c>
      <c r="B274" s="1">
        <v>45707</v>
      </c>
      <c r="C274" s="1">
        <v>45708</v>
      </c>
      <c r="D274" t="s">
        <v>249</v>
      </c>
      <c r="E274" t="s">
        <v>39</v>
      </c>
      <c r="F274" t="s">
        <v>20</v>
      </c>
      <c r="G274" t="s">
        <v>21</v>
      </c>
      <c r="H274" t="s">
        <v>42</v>
      </c>
      <c r="I274" t="s">
        <v>43</v>
      </c>
      <c r="J274" t="s">
        <v>72</v>
      </c>
      <c r="K274">
        <v>1</v>
      </c>
      <c r="L274">
        <v>322</v>
      </c>
      <c r="M274">
        <v>0.05</v>
      </c>
      <c r="N274">
        <v>305.89999999999998</v>
      </c>
      <c r="O274">
        <v>66.989999999999995</v>
      </c>
      <c r="P274" t="s">
        <v>25</v>
      </c>
      <c r="Q274" t="s">
        <v>26</v>
      </c>
    </row>
    <row r="275" spans="1:17" x14ac:dyDescent="0.35">
      <c r="A275" t="s">
        <v>457</v>
      </c>
      <c r="B275" s="1">
        <v>45708</v>
      </c>
      <c r="C275" s="1">
        <v>45712</v>
      </c>
      <c r="D275" t="s">
        <v>251</v>
      </c>
      <c r="E275" t="s">
        <v>19</v>
      </c>
      <c r="F275" t="s">
        <v>30</v>
      </c>
      <c r="G275" t="s">
        <v>31</v>
      </c>
      <c r="H275" t="s">
        <v>22</v>
      </c>
      <c r="I275" t="s">
        <v>23</v>
      </c>
      <c r="J275" t="s">
        <v>147</v>
      </c>
      <c r="K275">
        <v>4</v>
      </c>
      <c r="L275">
        <v>369</v>
      </c>
      <c r="M275">
        <v>0.1</v>
      </c>
      <c r="N275">
        <v>1328.4</v>
      </c>
      <c r="O275">
        <v>156.75</v>
      </c>
      <c r="P275" t="s">
        <v>35</v>
      </c>
      <c r="Q275" t="s">
        <v>36</v>
      </c>
    </row>
    <row r="276" spans="1:17" x14ac:dyDescent="0.35">
      <c r="A276" t="s">
        <v>458</v>
      </c>
      <c r="B276" s="1">
        <v>45710</v>
      </c>
      <c r="C276" s="1">
        <v>45717</v>
      </c>
      <c r="D276" t="s">
        <v>253</v>
      </c>
      <c r="E276" t="s">
        <v>29</v>
      </c>
      <c r="F276" t="s">
        <v>40</v>
      </c>
      <c r="G276" t="s">
        <v>41</v>
      </c>
      <c r="H276" t="s">
        <v>32</v>
      </c>
      <c r="I276" t="s">
        <v>33</v>
      </c>
      <c r="J276" t="s">
        <v>150</v>
      </c>
      <c r="K276">
        <v>7</v>
      </c>
      <c r="L276">
        <v>416</v>
      </c>
      <c r="M276">
        <v>0.15</v>
      </c>
      <c r="N276">
        <v>2475.1999999999998</v>
      </c>
      <c r="O276">
        <v>487.61</v>
      </c>
      <c r="P276" t="s">
        <v>45</v>
      </c>
      <c r="Q276" t="s">
        <v>46</v>
      </c>
    </row>
    <row r="277" spans="1:17" x14ac:dyDescent="0.35">
      <c r="A277" t="s">
        <v>459</v>
      </c>
      <c r="B277" s="1">
        <v>45711</v>
      </c>
      <c r="C277" s="1">
        <v>45713</v>
      </c>
      <c r="D277" t="s">
        <v>255</v>
      </c>
      <c r="E277" t="s">
        <v>39</v>
      </c>
      <c r="F277" t="s">
        <v>49</v>
      </c>
      <c r="G277" t="s">
        <v>50</v>
      </c>
      <c r="H277" t="s">
        <v>42</v>
      </c>
      <c r="I277" t="s">
        <v>43</v>
      </c>
      <c r="J277" t="s">
        <v>153</v>
      </c>
      <c r="K277">
        <v>2</v>
      </c>
      <c r="L277">
        <v>463</v>
      </c>
      <c r="M277">
        <v>0.2</v>
      </c>
      <c r="N277">
        <v>740.8</v>
      </c>
      <c r="O277">
        <v>93.34</v>
      </c>
      <c r="P277" t="s">
        <v>52</v>
      </c>
      <c r="Q277" t="s">
        <v>53</v>
      </c>
    </row>
    <row r="278" spans="1:17" x14ac:dyDescent="0.35">
      <c r="A278" t="s">
        <v>460</v>
      </c>
      <c r="B278" s="1">
        <v>45713</v>
      </c>
      <c r="C278" s="1">
        <v>45718</v>
      </c>
      <c r="D278" t="s">
        <v>257</v>
      </c>
      <c r="E278" t="s">
        <v>19</v>
      </c>
      <c r="F278" t="s">
        <v>20</v>
      </c>
      <c r="G278" t="s">
        <v>56</v>
      </c>
      <c r="H278" t="s">
        <v>22</v>
      </c>
      <c r="I278" t="s">
        <v>23</v>
      </c>
      <c r="J278" t="s">
        <v>24</v>
      </c>
      <c r="K278">
        <v>5</v>
      </c>
      <c r="L278">
        <v>510</v>
      </c>
      <c r="M278">
        <v>0</v>
      </c>
      <c r="N278">
        <v>2550</v>
      </c>
      <c r="O278">
        <v>459</v>
      </c>
      <c r="P278" t="s">
        <v>25</v>
      </c>
      <c r="Q278" t="s">
        <v>26</v>
      </c>
    </row>
    <row r="279" spans="1:17" x14ac:dyDescent="0.35">
      <c r="A279" t="s">
        <v>461</v>
      </c>
      <c r="B279" s="1">
        <v>45714</v>
      </c>
      <c r="C279" s="1">
        <v>45722</v>
      </c>
      <c r="D279" t="s">
        <v>259</v>
      </c>
      <c r="E279" t="s">
        <v>29</v>
      </c>
      <c r="F279" t="s">
        <v>30</v>
      </c>
      <c r="G279" t="s">
        <v>60</v>
      </c>
      <c r="H279" t="s">
        <v>32</v>
      </c>
      <c r="I279" t="s">
        <v>33</v>
      </c>
      <c r="J279" t="s">
        <v>34</v>
      </c>
      <c r="K279">
        <v>8</v>
      </c>
      <c r="L279">
        <v>557</v>
      </c>
      <c r="M279">
        <v>0</v>
      </c>
      <c r="N279">
        <v>4456</v>
      </c>
      <c r="O279">
        <v>1292.24</v>
      </c>
      <c r="P279" t="s">
        <v>35</v>
      </c>
      <c r="Q279" t="s">
        <v>36</v>
      </c>
    </row>
    <row r="280" spans="1:17" x14ac:dyDescent="0.35">
      <c r="A280" t="s">
        <v>462</v>
      </c>
      <c r="B280" s="1">
        <v>45716</v>
      </c>
      <c r="C280" s="1">
        <v>45719</v>
      </c>
      <c r="D280" t="s">
        <v>261</v>
      </c>
      <c r="E280" t="s">
        <v>39</v>
      </c>
      <c r="F280" t="s">
        <v>40</v>
      </c>
      <c r="G280" t="s">
        <v>64</v>
      </c>
      <c r="H280" t="s">
        <v>42</v>
      </c>
      <c r="I280" t="s">
        <v>43</v>
      </c>
      <c r="J280" t="s">
        <v>44</v>
      </c>
      <c r="K280">
        <v>3</v>
      </c>
      <c r="L280">
        <v>604</v>
      </c>
      <c r="M280">
        <v>0.05</v>
      </c>
      <c r="N280">
        <v>1721.4</v>
      </c>
      <c r="O280">
        <v>376.99</v>
      </c>
      <c r="P280" t="s">
        <v>45</v>
      </c>
      <c r="Q280" t="s">
        <v>46</v>
      </c>
    </row>
    <row r="281" spans="1:17" x14ac:dyDescent="0.35">
      <c r="A281" t="s">
        <v>463</v>
      </c>
      <c r="B281" s="1">
        <v>45718</v>
      </c>
      <c r="C281" s="1">
        <v>45724</v>
      </c>
      <c r="D281" t="s">
        <v>263</v>
      </c>
      <c r="E281" t="s">
        <v>19</v>
      </c>
      <c r="F281" t="s">
        <v>49</v>
      </c>
      <c r="G281" t="s">
        <v>68</v>
      </c>
      <c r="H281" t="s">
        <v>22</v>
      </c>
      <c r="I281" t="s">
        <v>75</v>
      </c>
      <c r="J281" t="s">
        <v>96</v>
      </c>
      <c r="K281">
        <v>6</v>
      </c>
      <c r="L281">
        <v>651</v>
      </c>
      <c r="M281">
        <v>0.1</v>
      </c>
      <c r="N281">
        <v>3515.4</v>
      </c>
      <c r="O281">
        <v>414.82</v>
      </c>
      <c r="P281" t="s">
        <v>52</v>
      </c>
      <c r="Q281" t="s">
        <v>53</v>
      </c>
    </row>
    <row r="282" spans="1:17" x14ac:dyDescent="0.35">
      <c r="A282" t="s">
        <v>464</v>
      </c>
      <c r="B282" s="1">
        <v>45719</v>
      </c>
      <c r="C282" s="1">
        <v>45720</v>
      </c>
      <c r="D282" t="s">
        <v>265</v>
      </c>
      <c r="E282" t="s">
        <v>29</v>
      </c>
      <c r="F282" t="s">
        <v>20</v>
      </c>
      <c r="G282" t="s">
        <v>21</v>
      </c>
      <c r="H282" t="s">
        <v>32</v>
      </c>
      <c r="I282" t="s">
        <v>79</v>
      </c>
      <c r="J282" t="s">
        <v>99</v>
      </c>
      <c r="K282">
        <v>1</v>
      </c>
      <c r="L282">
        <v>698</v>
      </c>
      <c r="M282">
        <v>0.15</v>
      </c>
      <c r="N282">
        <v>593.29999999999995</v>
      </c>
      <c r="O282">
        <v>116.88</v>
      </c>
      <c r="P282" t="s">
        <v>25</v>
      </c>
      <c r="Q282" t="s">
        <v>26</v>
      </c>
    </row>
    <row r="283" spans="1:17" x14ac:dyDescent="0.35">
      <c r="A283" t="s">
        <v>465</v>
      </c>
      <c r="B283" s="1">
        <v>45721</v>
      </c>
      <c r="C283" s="1">
        <v>45725</v>
      </c>
      <c r="D283" t="s">
        <v>267</v>
      </c>
      <c r="E283" t="s">
        <v>39</v>
      </c>
      <c r="F283" t="s">
        <v>30</v>
      </c>
      <c r="G283" t="s">
        <v>31</v>
      </c>
      <c r="H283" t="s">
        <v>42</v>
      </c>
      <c r="I283" t="s">
        <v>83</v>
      </c>
      <c r="J283" t="s">
        <v>102</v>
      </c>
      <c r="K283">
        <v>4</v>
      </c>
      <c r="L283">
        <v>745</v>
      </c>
      <c r="M283">
        <v>0.2</v>
      </c>
      <c r="N283">
        <v>2384</v>
      </c>
      <c r="O283">
        <v>300.38</v>
      </c>
      <c r="P283" t="s">
        <v>35</v>
      </c>
      <c r="Q283" t="s">
        <v>36</v>
      </c>
    </row>
    <row r="284" spans="1:17" x14ac:dyDescent="0.35">
      <c r="A284" t="s">
        <v>466</v>
      </c>
      <c r="B284" s="1">
        <v>45722</v>
      </c>
      <c r="C284" s="1">
        <v>45729</v>
      </c>
      <c r="D284" t="s">
        <v>269</v>
      </c>
      <c r="E284" t="s">
        <v>19</v>
      </c>
      <c r="F284" t="s">
        <v>40</v>
      </c>
      <c r="G284" t="s">
        <v>41</v>
      </c>
      <c r="H284" t="s">
        <v>22</v>
      </c>
      <c r="I284" t="s">
        <v>75</v>
      </c>
      <c r="J284" t="s">
        <v>168</v>
      </c>
      <c r="K284">
        <v>7</v>
      </c>
      <c r="L284">
        <v>792</v>
      </c>
      <c r="M284">
        <v>0</v>
      </c>
      <c r="N284">
        <v>5544</v>
      </c>
      <c r="O284">
        <v>997.92</v>
      </c>
      <c r="P284" t="s">
        <v>45</v>
      </c>
      <c r="Q284" t="s">
        <v>46</v>
      </c>
    </row>
    <row r="285" spans="1:17" x14ac:dyDescent="0.35">
      <c r="A285" t="s">
        <v>467</v>
      </c>
      <c r="B285" s="1">
        <v>45724</v>
      </c>
      <c r="C285" s="1">
        <v>45726</v>
      </c>
      <c r="D285" t="s">
        <v>271</v>
      </c>
      <c r="E285" t="s">
        <v>29</v>
      </c>
      <c r="F285" t="s">
        <v>49</v>
      </c>
      <c r="G285" t="s">
        <v>50</v>
      </c>
      <c r="H285" t="s">
        <v>32</v>
      </c>
      <c r="I285" t="s">
        <v>79</v>
      </c>
      <c r="J285" t="s">
        <v>171</v>
      </c>
      <c r="K285">
        <v>2</v>
      </c>
      <c r="L285">
        <v>59</v>
      </c>
      <c r="M285">
        <v>0</v>
      </c>
      <c r="N285">
        <v>118</v>
      </c>
      <c r="O285">
        <v>34.22</v>
      </c>
      <c r="P285" t="s">
        <v>52</v>
      </c>
      <c r="Q285" t="s">
        <v>53</v>
      </c>
    </row>
    <row r="286" spans="1:17" x14ac:dyDescent="0.35">
      <c r="A286" t="s">
        <v>468</v>
      </c>
      <c r="B286" s="1">
        <v>45725</v>
      </c>
      <c r="C286" s="1">
        <v>45730</v>
      </c>
      <c r="D286" t="s">
        <v>273</v>
      </c>
      <c r="E286" t="s">
        <v>39</v>
      </c>
      <c r="F286" t="s">
        <v>20</v>
      </c>
      <c r="G286" t="s">
        <v>56</v>
      </c>
      <c r="H286" t="s">
        <v>42</v>
      </c>
      <c r="I286" t="s">
        <v>83</v>
      </c>
      <c r="J286" t="s">
        <v>174</v>
      </c>
      <c r="K286">
        <v>5</v>
      </c>
      <c r="L286">
        <v>106</v>
      </c>
      <c r="M286">
        <v>0.05</v>
      </c>
      <c r="N286">
        <v>503.5</v>
      </c>
      <c r="O286">
        <v>110.27</v>
      </c>
      <c r="P286" t="s">
        <v>25</v>
      </c>
      <c r="Q286" t="s">
        <v>26</v>
      </c>
    </row>
    <row r="287" spans="1:17" x14ac:dyDescent="0.35">
      <c r="A287" t="s">
        <v>469</v>
      </c>
      <c r="B287" s="1">
        <v>45727</v>
      </c>
      <c r="C287" s="1">
        <v>45735</v>
      </c>
      <c r="D287" t="s">
        <v>275</v>
      </c>
      <c r="E287" t="s">
        <v>19</v>
      </c>
      <c r="F287" t="s">
        <v>30</v>
      </c>
      <c r="G287" t="s">
        <v>60</v>
      </c>
      <c r="H287" t="s">
        <v>22</v>
      </c>
      <c r="I287" t="s">
        <v>75</v>
      </c>
      <c r="J287" t="s">
        <v>76</v>
      </c>
      <c r="K287">
        <v>8</v>
      </c>
      <c r="L287">
        <v>153</v>
      </c>
      <c r="M287">
        <v>0.1</v>
      </c>
      <c r="N287">
        <v>1101.5999999999999</v>
      </c>
      <c r="O287">
        <v>-178.46</v>
      </c>
      <c r="P287" t="s">
        <v>35</v>
      </c>
      <c r="Q287" t="s">
        <v>36</v>
      </c>
    </row>
    <row r="288" spans="1:17" x14ac:dyDescent="0.35">
      <c r="A288" t="s">
        <v>470</v>
      </c>
      <c r="B288" s="1">
        <v>45728</v>
      </c>
      <c r="C288" s="1">
        <v>45731</v>
      </c>
      <c r="D288" t="s">
        <v>277</v>
      </c>
      <c r="E288" t="s">
        <v>29</v>
      </c>
      <c r="F288" t="s">
        <v>40</v>
      </c>
      <c r="G288" t="s">
        <v>64</v>
      </c>
      <c r="H288" t="s">
        <v>32</v>
      </c>
      <c r="I288" t="s">
        <v>79</v>
      </c>
      <c r="J288" t="s">
        <v>80</v>
      </c>
      <c r="K288">
        <v>3</v>
      </c>
      <c r="L288">
        <v>200</v>
      </c>
      <c r="M288">
        <v>0.15</v>
      </c>
      <c r="N288">
        <v>510</v>
      </c>
      <c r="O288">
        <v>100.47</v>
      </c>
      <c r="P288" t="s">
        <v>45</v>
      </c>
      <c r="Q288" t="s">
        <v>46</v>
      </c>
    </row>
    <row r="289" spans="1:17" x14ac:dyDescent="0.35">
      <c r="A289" t="s">
        <v>471</v>
      </c>
      <c r="B289" s="1">
        <v>45730</v>
      </c>
      <c r="C289" s="1">
        <v>45736</v>
      </c>
      <c r="D289" t="s">
        <v>279</v>
      </c>
      <c r="E289" t="s">
        <v>39</v>
      </c>
      <c r="F289" t="s">
        <v>49</v>
      </c>
      <c r="G289" t="s">
        <v>68</v>
      </c>
      <c r="H289" t="s">
        <v>42</v>
      </c>
      <c r="I289" t="s">
        <v>83</v>
      </c>
      <c r="J289" t="s">
        <v>84</v>
      </c>
      <c r="K289">
        <v>6</v>
      </c>
      <c r="L289">
        <v>247</v>
      </c>
      <c r="M289">
        <v>0.2</v>
      </c>
      <c r="N289">
        <v>1185.5999999999999</v>
      </c>
      <c r="O289">
        <v>149.38999999999999</v>
      </c>
      <c r="P289" t="s">
        <v>52</v>
      </c>
      <c r="Q289" t="s">
        <v>53</v>
      </c>
    </row>
    <row r="290" spans="1:17" x14ac:dyDescent="0.35">
      <c r="A290" t="s">
        <v>472</v>
      </c>
      <c r="B290" s="1">
        <v>45731</v>
      </c>
      <c r="C290" s="1">
        <v>45732</v>
      </c>
      <c r="D290" t="s">
        <v>18</v>
      </c>
      <c r="E290" t="s">
        <v>19</v>
      </c>
      <c r="F290" t="s">
        <v>20</v>
      </c>
      <c r="G290" t="s">
        <v>21</v>
      </c>
      <c r="H290" t="s">
        <v>22</v>
      </c>
      <c r="I290" t="s">
        <v>105</v>
      </c>
      <c r="J290" t="s">
        <v>126</v>
      </c>
      <c r="K290">
        <v>1</v>
      </c>
      <c r="L290">
        <v>294</v>
      </c>
      <c r="M290">
        <v>0</v>
      </c>
      <c r="N290">
        <v>294</v>
      </c>
      <c r="O290">
        <v>52.92</v>
      </c>
      <c r="P290" t="s">
        <v>25</v>
      </c>
      <c r="Q290" t="s">
        <v>26</v>
      </c>
    </row>
    <row r="291" spans="1:17" x14ac:dyDescent="0.35">
      <c r="A291" t="s">
        <v>473</v>
      </c>
      <c r="B291" s="1">
        <v>45733</v>
      </c>
      <c r="C291" s="1">
        <v>45737</v>
      </c>
      <c r="D291" t="s">
        <v>28</v>
      </c>
      <c r="E291" t="s">
        <v>29</v>
      </c>
      <c r="F291" t="s">
        <v>30</v>
      </c>
      <c r="G291" t="s">
        <v>31</v>
      </c>
      <c r="H291" t="s">
        <v>32</v>
      </c>
      <c r="I291" t="s">
        <v>109</v>
      </c>
      <c r="J291" t="s">
        <v>129</v>
      </c>
      <c r="K291">
        <v>4</v>
      </c>
      <c r="L291">
        <v>341</v>
      </c>
      <c r="M291">
        <v>0</v>
      </c>
      <c r="N291">
        <v>1364</v>
      </c>
      <c r="O291">
        <v>395.56</v>
      </c>
      <c r="P291" t="s">
        <v>35</v>
      </c>
      <c r="Q291" t="s">
        <v>36</v>
      </c>
    </row>
    <row r="292" spans="1:17" x14ac:dyDescent="0.35">
      <c r="A292" t="s">
        <v>474</v>
      </c>
      <c r="B292" s="1">
        <v>45734</v>
      </c>
      <c r="C292" s="1">
        <v>45741</v>
      </c>
      <c r="D292" t="s">
        <v>38</v>
      </c>
      <c r="E292" t="s">
        <v>39</v>
      </c>
      <c r="F292" t="s">
        <v>40</v>
      </c>
      <c r="G292" t="s">
        <v>41</v>
      </c>
      <c r="H292" t="s">
        <v>42</v>
      </c>
      <c r="I292" t="s">
        <v>113</v>
      </c>
      <c r="J292" t="s">
        <v>132</v>
      </c>
      <c r="K292">
        <v>7</v>
      </c>
      <c r="L292">
        <v>388</v>
      </c>
      <c r="M292">
        <v>0.05</v>
      </c>
      <c r="N292">
        <v>2580.1999999999998</v>
      </c>
      <c r="O292">
        <v>565.05999999999995</v>
      </c>
      <c r="P292" t="s">
        <v>45</v>
      </c>
      <c r="Q292" t="s">
        <v>46</v>
      </c>
    </row>
    <row r="293" spans="1:17" x14ac:dyDescent="0.35">
      <c r="A293" t="s">
        <v>475</v>
      </c>
      <c r="B293" s="1">
        <v>45736</v>
      </c>
      <c r="C293" s="1">
        <v>45738</v>
      </c>
      <c r="D293" t="s">
        <v>48</v>
      </c>
      <c r="E293" t="s">
        <v>19</v>
      </c>
      <c r="F293" t="s">
        <v>49</v>
      </c>
      <c r="G293" t="s">
        <v>50</v>
      </c>
      <c r="H293" t="s">
        <v>22</v>
      </c>
      <c r="I293" t="s">
        <v>105</v>
      </c>
      <c r="J293" t="s">
        <v>189</v>
      </c>
      <c r="K293">
        <v>2</v>
      </c>
      <c r="L293">
        <v>435</v>
      </c>
      <c r="M293">
        <v>0.1</v>
      </c>
      <c r="N293">
        <v>783</v>
      </c>
      <c r="O293">
        <v>92.39</v>
      </c>
      <c r="P293" t="s">
        <v>52</v>
      </c>
      <c r="Q293" t="s">
        <v>53</v>
      </c>
    </row>
    <row r="294" spans="1:17" x14ac:dyDescent="0.35">
      <c r="A294" t="s">
        <v>476</v>
      </c>
      <c r="B294" s="1">
        <v>45737</v>
      </c>
      <c r="C294" s="1">
        <v>45742</v>
      </c>
      <c r="D294" t="s">
        <v>55</v>
      </c>
      <c r="E294" t="s">
        <v>29</v>
      </c>
      <c r="F294" t="s">
        <v>20</v>
      </c>
      <c r="G294" t="s">
        <v>56</v>
      </c>
      <c r="H294" t="s">
        <v>32</v>
      </c>
      <c r="I294" t="s">
        <v>109</v>
      </c>
      <c r="J294" t="s">
        <v>192</v>
      </c>
      <c r="K294">
        <v>5</v>
      </c>
      <c r="L294">
        <v>482</v>
      </c>
      <c r="M294">
        <v>0.15</v>
      </c>
      <c r="N294">
        <v>2048.5</v>
      </c>
      <c r="O294">
        <v>403.55</v>
      </c>
      <c r="P294" t="s">
        <v>25</v>
      </c>
      <c r="Q294" t="s">
        <v>26</v>
      </c>
    </row>
    <row r="295" spans="1:17" x14ac:dyDescent="0.35">
      <c r="A295" t="s">
        <v>477</v>
      </c>
      <c r="B295" s="1">
        <v>45739</v>
      </c>
      <c r="C295" s="1">
        <v>45747</v>
      </c>
      <c r="D295" t="s">
        <v>59</v>
      </c>
      <c r="E295" t="s">
        <v>39</v>
      </c>
      <c r="F295" t="s">
        <v>30</v>
      </c>
      <c r="G295" t="s">
        <v>60</v>
      </c>
      <c r="H295" t="s">
        <v>42</v>
      </c>
      <c r="I295" t="s">
        <v>113</v>
      </c>
      <c r="J295" t="s">
        <v>195</v>
      </c>
      <c r="K295">
        <v>8</v>
      </c>
      <c r="L295">
        <v>529</v>
      </c>
      <c r="M295">
        <v>0.2</v>
      </c>
      <c r="N295">
        <v>3385.6</v>
      </c>
      <c r="O295">
        <v>426.59</v>
      </c>
      <c r="P295" t="s">
        <v>35</v>
      </c>
      <c r="Q295" t="s">
        <v>36</v>
      </c>
    </row>
    <row r="296" spans="1:17" x14ac:dyDescent="0.35">
      <c r="A296" t="s">
        <v>478</v>
      </c>
      <c r="B296" s="1">
        <v>45740</v>
      </c>
      <c r="C296" s="1">
        <v>45743</v>
      </c>
      <c r="D296" t="s">
        <v>63</v>
      </c>
      <c r="E296" t="s">
        <v>19</v>
      </c>
      <c r="F296" t="s">
        <v>40</v>
      </c>
      <c r="G296" t="s">
        <v>64</v>
      </c>
      <c r="H296" t="s">
        <v>22</v>
      </c>
      <c r="I296" t="s">
        <v>105</v>
      </c>
      <c r="J296" t="s">
        <v>106</v>
      </c>
      <c r="K296">
        <v>3</v>
      </c>
      <c r="L296">
        <v>576</v>
      </c>
      <c r="M296">
        <v>0</v>
      </c>
      <c r="N296">
        <v>1728</v>
      </c>
      <c r="O296">
        <v>311.04000000000002</v>
      </c>
      <c r="P296" t="s">
        <v>45</v>
      </c>
      <c r="Q296" t="s">
        <v>46</v>
      </c>
    </row>
    <row r="297" spans="1:17" x14ac:dyDescent="0.35">
      <c r="A297" t="s">
        <v>479</v>
      </c>
      <c r="B297" s="1">
        <v>45742</v>
      </c>
      <c r="C297" s="1">
        <v>45748</v>
      </c>
      <c r="D297" t="s">
        <v>67</v>
      </c>
      <c r="E297" t="s">
        <v>29</v>
      </c>
      <c r="F297" t="s">
        <v>49</v>
      </c>
      <c r="G297" t="s">
        <v>68</v>
      </c>
      <c r="H297" t="s">
        <v>32</v>
      </c>
      <c r="I297" t="s">
        <v>109</v>
      </c>
      <c r="J297" t="s">
        <v>110</v>
      </c>
      <c r="K297">
        <v>6</v>
      </c>
      <c r="L297">
        <v>623</v>
      </c>
      <c r="M297">
        <v>0</v>
      </c>
      <c r="N297">
        <v>3738</v>
      </c>
      <c r="O297">
        <v>1084.02</v>
      </c>
      <c r="P297" t="s">
        <v>52</v>
      </c>
      <c r="Q297" t="s">
        <v>53</v>
      </c>
    </row>
    <row r="298" spans="1:17" x14ac:dyDescent="0.35">
      <c r="A298" t="s">
        <v>480</v>
      </c>
      <c r="B298" s="1">
        <v>45743</v>
      </c>
      <c r="C298" s="1">
        <v>45744</v>
      </c>
      <c r="D298" t="s">
        <v>71</v>
      </c>
      <c r="E298" t="s">
        <v>39</v>
      </c>
      <c r="F298" t="s">
        <v>20</v>
      </c>
      <c r="G298" t="s">
        <v>21</v>
      </c>
      <c r="H298" t="s">
        <v>42</v>
      </c>
      <c r="I298" t="s">
        <v>113</v>
      </c>
      <c r="J298" t="s">
        <v>114</v>
      </c>
      <c r="K298">
        <v>1</v>
      </c>
      <c r="L298">
        <v>670</v>
      </c>
      <c r="M298">
        <v>0.05</v>
      </c>
      <c r="N298">
        <v>636.5</v>
      </c>
      <c r="O298">
        <v>139.38999999999999</v>
      </c>
      <c r="P298" t="s">
        <v>25</v>
      </c>
      <c r="Q298" t="s">
        <v>26</v>
      </c>
    </row>
    <row r="299" spans="1:17" x14ac:dyDescent="0.35">
      <c r="A299" t="s">
        <v>481</v>
      </c>
      <c r="B299" s="1">
        <v>45745</v>
      </c>
      <c r="C299" s="1">
        <v>45749</v>
      </c>
      <c r="D299" t="s">
        <v>74</v>
      </c>
      <c r="E299" t="s">
        <v>19</v>
      </c>
      <c r="F299" t="s">
        <v>30</v>
      </c>
      <c r="G299" t="s">
        <v>31</v>
      </c>
      <c r="H299" t="s">
        <v>22</v>
      </c>
      <c r="I299" t="s">
        <v>23</v>
      </c>
      <c r="J299" t="s">
        <v>147</v>
      </c>
      <c r="K299">
        <v>4</v>
      </c>
      <c r="L299">
        <v>717</v>
      </c>
      <c r="M299">
        <v>0.1</v>
      </c>
      <c r="N299">
        <v>2581.1999999999998</v>
      </c>
      <c r="O299">
        <v>304.58</v>
      </c>
      <c r="P299" t="s">
        <v>35</v>
      </c>
      <c r="Q299" t="s">
        <v>36</v>
      </c>
    </row>
    <row r="300" spans="1:17" x14ac:dyDescent="0.35">
      <c r="A300" t="s">
        <v>482</v>
      </c>
      <c r="B300" s="1">
        <v>45746</v>
      </c>
      <c r="C300" s="1">
        <v>45753</v>
      </c>
      <c r="D300" t="s">
        <v>78</v>
      </c>
      <c r="E300" t="s">
        <v>29</v>
      </c>
      <c r="F300" t="s">
        <v>40</v>
      </c>
      <c r="G300" t="s">
        <v>41</v>
      </c>
      <c r="H300" t="s">
        <v>32</v>
      </c>
      <c r="I300" t="s">
        <v>33</v>
      </c>
      <c r="J300" t="s">
        <v>150</v>
      </c>
      <c r="K300">
        <v>7</v>
      </c>
      <c r="L300">
        <v>764</v>
      </c>
      <c r="M300">
        <v>0.15</v>
      </c>
      <c r="N300">
        <v>4545.8</v>
      </c>
      <c r="O300">
        <v>895.52</v>
      </c>
      <c r="P300" t="s">
        <v>45</v>
      </c>
      <c r="Q300" t="s">
        <v>46</v>
      </c>
    </row>
    <row r="301" spans="1:17" x14ac:dyDescent="0.35">
      <c r="A301" t="s">
        <v>483</v>
      </c>
      <c r="B301" s="1">
        <v>45748</v>
      </c>
      <c r="C301" s="1">
        <v>45750</v>
      </c>
      <c r="D301" t="s">
        <v>82</v>
      </c>
      <c r="E301" t="s">
        <v>39</v>
      </c>
      <c r="F301" t="s">
        <v>49</v>
      </c>
      <c r="G301" t="s">
        <v>50</v>
      </c>
      <c r="H301" t="s">
        <v>42</v>
      </c>
      <c r="I301" t="s">
        <v>43</v>
      </c>
      <c r="J301" t="s">
        <v>153</v>
      </c>
      <c r="K301">
        <v>2</v>
      </c>
      <c r="L301">
        <v>31</v>
      </c>
      <c r="M301">
        <v>0.2</v>
      </c>
      <c r="N301">
        <v>49.6</v>
      </c>
      <c r="O301">
        <v>6.25</v>
      </c>
      <c r="P301" t="s">
        <v>52</v>
      </c>
      <c r="Q301" t="s">
        <v>53</v>
      </c>
    </row>
    <row r="302" spans="1:17" x14ac:dyDescent="0.35">
      <c r="A302" t="s">
        <v>484</v>
      </c>
      <c r="B302" s="1">
        <v>45749</v>
      </c>
      <c r="C302" s="1">
        <v>45754</v>
      </c>
      <c r="D302" t="s">
        <v>86</v>
      </c>
      <c r="E302" t="s">
        <v>19</v>
      </c>
      <c r="F302" t="s">
        <v>20</v>
      </c>
      <c r="G302" t="s">
        <v>56</v>
      </c>
      <c r="H302" t="s">
        <v>22</v>
      </c>
      <c r="I302" t="s">
        <v>23</v>
      </c>
      <c r="J302" t="s">
        <v>24</v>
      </c>
      <c r="K302">
        <v>5</v>
      </c>
      <c r="L302">
        <v>78</v>
      </c>
      <c r="M302">
        <v>0</v>
      </c>
      <c r="N302">
        <v>390</v>
      </c>
      <c r="O302">
        <v>70.2</v>
      </c>
      <c r="P302" t="s">
        <v>25</v>
      </c>
      <c r="Q302" t="s">
        <v>26</v>
      </c>
    </row>
    <row r="303" spans="1:17" x14ac:dyDescent="0.35">
      <c r="A303" t="s">
        <v>485</v>
      </c>
      <c r="B303" s="1">
        <v>45751</v>
      </c>
      <c r="C303" s="1">
        <v>45759</v>
      </c>
      <c r="D303" t="s">
        <v>89</v>
      </c>
      <c r="E303" t="s">
        <v>29</v>
      </c>
      <c r="F303" t="s">
        <v>30</v>
      </c>
      <c r="G303" t="s">
        <v>60</v>
      </c>
      <c r="H303" t="s">
        <v>32</v>
      </c>
      <c r="I303" t="s">
        <v>33</v>
      </c>
      <c r="J303" t="s">
        <v>34</v>
      </c>
      <c r="K303">
        <v>8</v>
      </c>
      <c r="L303">
        <v>125</v>
      </c>
      <c r="M303">
        <v>0</v>
      </c>
      <c r="N303">
        <v>1000</v>
      </c>
      <c r="O303">
        <v>290</v>
      </c>
      <c r="P303" t="s">
        <v>35</v>
      </c>
      <c r="Q303" t="s">
        <v>36</v>
      </c>
    </row>
    <row r="304" spans="1:17" x14ac:dyDescent="0.35">
      <c r="A304" t="s">
        <v>486</v>
      </c>
      <c r="B304" s="1">
        <v>45752</v>
      </c>
      <c r="C304" s="1">
        <v>45755</v>
      </c>
      <c r="D304" t="s">
        <v>92</v>
      </c>
      <c r="E304" t="s">
        <v>39</v>
      </c>
      <c r="F304" t="s">
        <v>40</v>
      </c>
      <c r="G304" t="s">
        <v>64</v>
      </c>
      <c r="H304" t="s">
        <v>42</v>
      </c>
      <c r="I304" t="s">
        <v>43</v>
      </c>
      <c r="J304" t="s">
        <v>44</v>
      </c>
      <c r="K304">
        <v>3</v>
      </c>
      <c r="L304">
        <v>172</v>
      </c>
      <c r="M304">
        <v>0.05</v>
      </c>
      <c r="N304">
        <v>490.2</v>
      </c>
      <c r="O304">
        <v>107.35</v>
      </c>
      <c r="P304" t="s">
        <v>45</v>
      </c>
      <c r="Q304" t="s">
        <v>46</v>
      </c>
    </row>
    <row r="305" spans="1:17" x14ac:dyDescent="0.35">
      <c r="A305" t="s">
        <v>487</v>
      </c>
      <c r="B305" s="1">
        <v>45754</v>
      </c>
      <c r="C305" s="1">
        <v>45760</v>
      </c>
      <c r="D305" t="s">
        <v>95</v>
      </c>
      <c r="E305" t="s">
        <v>19</v>
      </c>
      <c r="F305" t="s">
        <v>49</v>
      </c>
      <c r="G305" t="s">
        <v>68</v>
      </c>
      <c r="H305" t="s">
        <v>22</v>
      </c>
      <c r="I305" t="s">
        <v>23</v>
      </c>
      <c r="J305" t="s">
        <v>51</v>
      </c>
      <c r="K305">
        <v>6</v>
      </c>
      <c r="L305">
        <v>219</v>
      </c>
      <c r="M305">
        <v>0.1</v>
      </c>
      <c r="N305">
        <v>1182.5999999999999</v>
      </c>
      <c r="O305">
        <v>139.55000000000001</v>
      </c>
      <c r="P305" t="s">
        <v>52</v>
      </c>
      <c r="Q305" t="s">
        <v>53</v>
      </c>
    </row>
    <row r="306" spans="1:17" x14ac:dyDescent="0.35">
      <c r="A306" t="s">
        <v>488</v>
      </c>
      <c r="B306" s="1">
        <v>45756</v>
      </c>
      <c r="C306" s="1">
        <v>45757</v>
      </c>
      <c r="D306" t="s">
        <v>98</v>
      </c>
      <c r="E306" t="s">
        <v>29</v>
      </c>
      <c r="F306" t="s">
        <v>20</v>
      </c>
      <c r="G306" t="s">
        <v>21</v>
      </c>
      <c r="H306" t="s">
        <v>32</v>
      </c>
      <c r="I306" t="s">
        <v>33</v>
      </c>
      <c r="J306" t="s">
        <v>57</v>
      </c>
      <c r="K306">
        <v>1</v>
      </c>
      <c r="L306">
        <v>266</v>
      </c>
      <c r="M306">
        <v>0.15</v>
      </c>
      <c r="N306">
        <v>226.1</v>
      </c>
      <c r="O306">
        <v>-18.77</v>
      </c>
      <c r="P306" t="s">
        <v>25</v>
      </c>
      <c r="Q306" t="s">
        <v>26</v>
      </c>
    </row>
    <row r="307" spans="1:17" x14ac:dyDescent="0.35">
      <c r="A307" t="s">
        <v>489</v>
      </c>
      <c r="B307" s="1">
        <v>45757</v>
      </c>
      <c r="C307" s="1">
        <v>45761</v>
      </c>
      <c r="D307" t="s">
        <v>101</v>
      </c>
      <c r="E307" t="s">
        <v>39</v>
      </c>
      <c r="F307" t="s">
        <v>30</v>
      </c>
      <c r="G307" t="s">
        <v>31</v>
      </c>
      <c r="H307" t="s">
        <v>42</v>
      </c>
      <c r="I307" t="s">
        <v>43</v>
      </c>
      <c r="J307" t="s">
        <v>61</v>
      </c>
      <c r="K307">
        <v>4</v>
      </c>
      <c r="L307">
        <v>313</v>
      </c>
      <c r="M307">
        <v>0.2</v>
      </c>
      <c r="N307">
        <v>1001.6</v>
      </c>
      <c r="O307">
        <v>126.2</v>
      </c>
      <c r="P307" t="s">
        <v>35</v>
      </c>
      <c r="Q307" t="s">
        <v>36</v>
      </c>
    </row>
    <row r="308" spans="1:17" x14ac:dyDescent="0.35">
      <c r="A308" t="s">
        <v>490</v>
      </c>
      <c r="B308" s="1">
        <v>45759</v>
      </c>
      <c r="C308" s="1">
        <v>45766</v>
      </c>
      <c r="D308" t="s">
        <v>104</v>
      </c>
      <c r="E308" t="s">
        <v>19</v>
      </c>
      <c r="F308" t="s">
        <v>40</v>
      </c>
      <c r="G308" t="s">
        <v>41</v>
      </c>
      <c r="H308" t="s">
        <v>22</v>
      </c>
      <c r="I308" t="s">
        <v>75</v>
      </c>
      <c r="J308" t="s">
        <v>168</v>
      </c>
      <c r="K308">
        <v>7</v>
      </c>
      <c r="L308">
        <v>360</v>
      </c>
      <c r="M308">
        <v>0</v>
      </c>
      <c r="N308">
        <v>2520</v>
      </c>
      <c r="O308">
        <v>453.6</v>
      </c>
      <c r="P308" t="s">
        <v>45</v>
      </c>
      <c r="Q308" t="s">
        <v>46</v>
      </c>
    </row>
    <row r="309" spans="1:17" x14ac:dyDescent="0.35">
      <c r="A309" t="s">
        <v>491</v>
      </c>
      <c r="B309" s="1">
        <v>45760</v>
      </c>
      <c r="C309" s="1">
        <v>45762</v>
      </c>
      <c r="D309" t="s">
        <v>108</v>
      </c>
      <c r="E309" t="s">
        <v>29</v>
      </c>
      <c r="F309" t="s">
        <v>49</v>
      </c>
      <c r="G309" t="s">
        <v>50</v>
      </c>
      <c r="H309" t="s">
        <v>32</v>
      </c>
      <c r="I309" t="s">
        <v>79</v>
      </c>
      <c r="J309" t="s">
        <v>171</v>
      </c>
      <c r="K309">
        <v>2</v>
      </c>
      <c r="L309">
        <v>407</v>
      </c>
      <c r="M309">
        <v>0</v>
      </c>
      <c r="N309">
        <v>814</v>
      </c>
      <c r="O309">
        <v>236.06</v>
      </c>
      <c r="P309" t="s">
        <v>52</v>
      </c>
      <c r="Q309" t="s">
        <v>53</v>
      </c>
    </row>
    <row r="310" spans="1:17" x14ac:dyDescent="0.35">
      <c r="A310" t="s">
        <v>492</v>
      </c>
      <c r="B310" s="1">
        <v>45762</v>
      </c>
      <c r="C310" s="1">
        <v>45767</v>
      </c>
      <c r="D310" t="s">
        <v>112</v>
      </c>
      <c r="E310" t="s">
        <v>39</v>
      </c>
      <c r="F310" t="s">
        <v>20</v>
      </c>
      <c r="G310" t="s">
        <v>56</v>
      </c>
      <c r="H310" t="s">
        <v>42</v>
      </c>
      <c r="I310" t="s">
        <v>83</v>
      </c>
      <c r="J310" t="s">
        <v>174</v>
      </c>
      <c r="K310">
        <v>5</v>
      </c>
      <c r="L310">
        <v>454</v>
      </c>
      <c r="M310">
        <v>0.05</v>
      </c>
      <c r="N310">
        <v>2156.5</v>
      </c>
      <c r="O310">
        <v>472.27</v>
      </c>
      <c r="P310" t="s">
        <v>25</v>
      </c>
      <c r="Q310" t="s">
        <v>26</v>
      </c>
    </row>
    <row r="311" spans="1:17" x14ac:dyDescent="0.35">
      <c r="A311" t="s">
        <v>493</v>
      </c>
      <c r="B311" s="1">
        <v>45763</v>
      </c>
      <c r="C311" s="1">
        <v>45771</v>
      </c>
      <c r="D311" t="s">
        <v>116</v>
      </c>
      <c r="E311" t="s">
        <v>19</v>
      </c>
      <c r="F311" t="s">
        <v>30</v>
      </c>
      <c r="G311" t="s">
        <v>60</v>
      </c>
      <c r="H311" t="s">
        <v>22</v>
      </c>
      <c r="I311" t="s">
        <v>75</v>
      </c>
      <c r="J311" t="s">
        <v>76</v>
      </c>
      <c r="K311">
        <v>8</v>
      </c>
      <c r="L311">
        <v>501</v>
      </c>
      <c r="M311">
        <v>0.1</v>
      </c>
      <c r="N311">
        <v>3607.2</v>
      </c>
      <c r="O311">
        <v>425.65</v>
      </c>
      <c r="P311" t="s">
        <v>35</v>
      </c>
      <c r="Q311" t="s">
        <v>36</v>
      </c>
    </row>
    <row r="312" spans="1:17" x14ac:dyDescent="0.35">
      <c r="A312" t="s">
        <v>494</v>
      </c>
      <c r="B312" s="1">
        <v>45765</v>
      </c>
      <c r="C312" s="1">
        <v>45768</v>
      </c>
      <c r="D312" t="s">
        <v>119</v>
      </c>
      <c r="E312" t="s">
        <v>29</v>
      </c>
      <c r="F312" t="s">
        <v>40</v>
      </c>
      <c r="G312" t="s">
        <v>64</v>
      </c>
      <c r="H312" t="s">
        <v>32</v>
      </c>
      <c r="I312" t="s">
        <v>79</v>
      </c>
      <c r="J312" t="s">
        <v>80</v>
      </c>
      <c r="K312">
        <v>3</v>
      </c>
      <c r="L312">
        <v>548</v>
      </c>
      <c r="M312">
        <v>0.15</v>
      </c>
      <c r="N312">
        <v>1397.4</v>
      </c>
      <c r="O312">
        <v>275.29000000000002</v>
      </c>
      <c r="P312" t="s">
        <v>45</v>
      </c>
      <c r="Q312" t="s">
        <v>46</v>
      </c>
    </row>
    <row r="313" spans="1:17" x14ac:dyDescent="0.35">
      <c r="A313" t="s">
        <v>495</v>
      </c>
      <c r="B313" s="1">
        <v>45766</v>
      </c>
      <c r="C313" s="1">
        <v>45772</v>
      </c>
      <c r="D313" t="s">
        <v>122</v>
      </c>
      <c r="E313" t="s">
        <v>39</v>
      </c>
      <c r="F313" t="s">
        <v>49</v>
      </c>
      <c r="G313" t="s">
        <v>68</v>
      </c>
      <c r="H313" t="s">
        <v>42</v>
      </c>
      <c r="I313" t="s">
        <v>83</v>
      </c>
      <c r="J313" t="s">
        <v>84</v>
      </c>
      <c r="K313">
        <v>6</v>
      </c>
      <c r="L313">
        <v>595</v>
      </c>
      <c r="M313">
        <v>0.2</v>
      </c>
      <c r="N313">
        <v>2856</v>
      </c>
      <c r="O313">
        <v>359.86</v>
      </c>
      <c r="P313" t="s">
        <v>52</v>
      </c>
      <c r="Q313" t="s">
        <v>53</v>
      </c>
    </row>
    <row r="314" spans="1:17" x14ac:dyDescent="0.35">
      <c r="A314" t="s">
        <v>496</v>
      </c>
      <c r="B314" s="1">
        <v>45768</v>
      </c>
      <c r="C314" s="1">
        <v>45769</v>
      </c>
      <c r="D314" t="s">
        <v>125</v>
      </c>
      <c r="E314" t="s">
        <v>19</v>
      </c>
      <c r="F314" t="s">
        <v>20</v>
      </c>
      <c r="G314" t="s">
        <v>21</v>
      </c>
      <c r="H314" t="s">
        <v>22</v>
      </c>
      <c r="I314" t="s">
        <v>75</v>
      </c>
      <c r="J314" t="s">
        <v>87</v>
      </c>
      <c r="K314">
        <v>1</v>
      </c>
      <c r="L314">
        <v>642</v>
      </c>
      <c r="M314">
        <v>0</v>
      </c>
      <c r="N314">
        <v>642</v>
      </c>
      <c r="O314">
        <v>115.56</v>
      </c>
      <c r="P314" t="s">
        <v>25</v>
      </c>
      <c r="Q314" t="s">
        <v>26</v>
      </c>
    </row>
    <row r="315" spans="1:17" x14ac:dyDescent="0.35">
      <c r="A315" t="s">
        <v>497</v>
      </c>
      <c r="B315" s="1">
        <v>45769</v>
      </c>
      <c r="C315" s="1">
        <v>45773</v>
      </c>
      <c r="D315" t="s">
        <v>128</v>
      </c>
      <c r="E315" t="s">
        <v>29</v>
      </c>
      <c r="F315" t="s">
        <v>30</v>
      </c>
      <c r="G315" t="s">
        <v>31</v>
      </c>
      <c r="H315" t="s">
        <v>32</v>
      </c>
      <c r="I315" t="s">
        <v>79</v>
      </c>
      <c r="J315" t="s">
        <v>90</v>
      </c>
      <c r="K315">
        <v>4</v>
      </c>
      <c r="L315">
        <v>689</v>
      </c>
      <c r="M315">
        <v>0</v>
      </c>
      <c r="N315">
        <v>2756</v>
      </c>
      <c r="O315">
        <v>799.24</v>
      </c>
      <c r="P315" t="s">
        <v>35</v>
      </c>
      <c r="Q315" t="s">
        <v>36</v>
      </c>
    </row>
    <row r="316" spans="1:17" x14ac:dyDescent="0.35">
      <c r="A316" t="s">
        <v>498</v>
      </c>
      <c r="B316" s="1">
        <v>45771</v>
      </c>
      <c r="C316" s="1">
        <v>45778</v>
      </c>
      <c r="D316" t="s">
        <v>131</v>
      </c>
      <c r="E316" t="s">
        <v>39</v>
      </c>
      <c r="F316" t="s">
        <v>40</v>
      </c>
      <c r="G316" t="s">
        <v>41</v>
      </c>
      <c r="H316" t="s">
        <v>42</v>
      </c>
      <c r="I316" t="s">
        <v>83</v>
      </c>
      <c r="J316" t="s">
        <v>93</v>
      </c>
      <c r="K316">
        <v>7</v>
      </c>
      <c r="L316">
        <v>736</v>
      </c>
      <c r="M316">
        <v>0.05</v>
      </c>
      <c r="N316">
        <v>4894.3999999999996</v>
      </c>
      <c r="O316">
        <v>1071.8699999999999</v>
      </c>
      <c r="P316" t="s">
        <v>45</v>
      </c>
      <c r="Q316" t="s">
        <v>46</v>
      </c>
    </row>
    <row r="317" spans="1:17" x14ac:dyDescent="0.35">
      <c r="A317" t="s">
        <v>499</v>
      </c>
      <c r="B317" s="1">
        <v>45772</v>
      </c>
      <c r="C317" s="1">
        <v>45774</v>
      </c>
      <c r="D317" t="s">
        <v>134</v>
      </c>
      <c r="E317" t="s">
        <v>19</v>
      </c>
      <c r="F317" t="s">
        <v>49</v>
      </c>
      <c r="G317" t="s">
        <v>50</v>
      </c>
      <c r="H317" t="s">
        <v>22</v>
      </c>
      <c r="I317" t="s">
        <v>105</v>
      </c>
      <c r="J317" t="s">
        <v>189</v>
      </c>
      <c r="K317">
        <v>2</v>
      </c>
      <c r="L317">
        <v>783</v>
      </c>
      <c r="M317">
        <v>0.1</v>
      </c>
      <c r="N317">
        <v>1409.4</v>
      </c>
      <c r="O317">
        <v>166.31</v>
      </c>
      <c r="P317" t="s">
        <v>52</v>
      </c>
      <c r="Q317" t="s">
        <v>53</v>
      </c>
    </row>
    <row r="318" spans="1:17" x14ac:dyDescent="0.35">
      <c r="A318" t="s">
        <v>500</v>
      </c>
      <c r="B318" s="1">
        <v>45774</v>
      </c>
      <c r="C318" s="1">
        <v>45779</v>
      </c>
      <c r="D318" t="s">
        <v>136</v>
      </c>
      <c r="E318" t="s">
        <v>29</v>
      </c>
      <c r="F318" t="s">
        <v>20</v>
      </c>
      <c r="G318" t="s">
        <v>56</v>
      </c>
      <c r="H318" t="s">
        <v>32</v>
      </c>
      <c r="I318" t="s">
        <v>109</v>
      </c>
      <c r="J318" t="s">
        <v>192</v>
      </c>
      <c r="K318">
        <v>5</v>
      </c>
      <c r="L318">
        <v>50</v>
      </c>
      <c r="M318">
        <v>0.15</v>
      </c>
      <c r="N318">
        <v>212.5</v>
      </c>
      <c r="O318">
        <v>41.86</v>
      </c>
      <c r="P318" t="s">
        <v>25</v>
      </c>
      <c r="Q318" t="s">
        <v>26</v>
      </c>
    </row>
    <row r="319" spans="1:17" x14ac:dyDescent="0.35">
      <c r="A319" t="s">
        <v>501</v>
      </c>
      <c r="B319" s="1">
        <v>45775</v>
      </c>
      <c r="C319" s="1">
        <v>45783</v>
      </c>
      <c r="D319" t="s">
        <v>138</v>
      </c>
      <c r="E319" t="s">
        <v>39</v>
      </c>
      <c r="F319" t="s">
        <v>30</v>
      </c>
      <c r="G319" t="s">
        <v>60</v>
      </c>
      <c r="H319" t="s">
        <v>42</v>
      </c>
      <c r="I319" t="s">
        <v>113</v>
      </c>
      <c r="J319" t="s">
        <v>195</v>
      </c>
      <c r="K319">
        <v>8</v>
      </c>
      <c r="L319">
        <v>97</v>
      </c>
      <c r="M319">
        <v>0.2</v>
      </c>
      <c r="N319">
        <v>620.79999999999995</v>
      </c>
      <c r="O319">
        <v>78.22</v>
      </c>
      <c r="P319" t="s">
        <v>35</v>
      </c>
      <c r="Q319" t="s">
        <v>36</v>
      </c>
    </row>
    <row r="320" spans="1:17" x14ac:dyDescent="0.35">
      <c r="A320" t="s">
        <v>502</v>
      </c>
      <c r="B320" s="1">
        <v>45777</v>
      </c>
      <c r="C320" s="1">
        <v>45780</v>
      </c>
      <c r="D320" t="s">
        <v>140</v>
      </c>
      <c r="E320" t="s">
        <v>19</v>
      </c>
      <c r="F320" t="s">
        <v>40</v>
      </c>
      <c r="G320" t="s">
        <v>64</v>
      </c>
      <c r="H320" t="s">
        <v>22</v>
      </c>
      <c r="I320" t="s">
        <v>105</v>
      </c>
      <c r="J320" t="s">
        <v>106</v>
      </c>
      <c r="K320">
        <v>3</v>
      </c>
      <c r="L320">
        <v>144</v>
      </c>
      <c r="M320">
        <v>0</v>
      </c>
      <c r="N320">
        <v>432</v>
      </c>
      <c r="O320">
        <v>77.760000000000005</v>
      </c>
      <c r="P320" t="s">
        <v>45</v>
      </c>
      <c r="Q320" t="s">
        <v>46</v>
      </c>
    </row>
    <row r="321" spans="1:17" x14ac:dyDescent="0.35">
      <c r="A321" t="s">
        <v>503</v>
      </c>
      <c r="B321" s="1">
        <v>45778</v>
      </c>
      <c r="C321" s="1">
        <v>45784</v>
      </c>
      <c r="D321" t="s">
        <v>142</v>
      </c>
      <c r="E321" t="s">
        <v>29</v>
      </c>
      <c r="F321" t="s">
        <v>49</v>
      </c>
      <c r="G321" t="s">
        <v>68</v>
      </c>
      <c r="H321" t="s">
        <v>32</v>
      </c>
      <c r="I321" t="s">
        <v>109</v>
      </c>
      <c r="J321" t="s">
        <v>110</v>
      </c>
      <c r="K321">
        <v>6</v>
      </c>
      <c r="L321">
        <v>191</v>
      </c>
      <c r="M321">
        <v>0</v>
      </c>
      <c r="N321">
        <v>1146</v>
      </c>
      <c r="O321">
        <v>332.34</v>
      </c>
      <c r="P321" t="s">
        <v>52</v>
      </c>
      <c r="Q321" t="s">
        <v>53</v>
      </c>
    </row>
    <row r="322" spans="1:17" x14ac:dyDescent="0.35">
      <c r="A322" t="s">
        <v>504</v>
      </c>
      <c r="B322" s="1">
        <v>45780</v>
      </c>
      <c r="C322" s="1">
        <v>45781</v>
      </c>
      <c r="D322" t="s">
        <v>144</v>
      </c>
      <c r="E322" t="s">
        <v>39</v>
      </c>
      <c r="F322" t="s">
        <v>20</v>
      </c>
      <c r="G322" t="s">
        <v>21</v>
      </c>
      <c r="H322" t="s">
        <v>42</v>
      </c>
      <c r="I322" t="s">
        <v>113</v>
      </c>
      <c r="J322" t="s">
        <v>114</v>
      </c>
      <c r="K322">
        <v>1</v>
      </c>
      <c r="L322">
        <v>238</v>
      </c>
      <c r="M322">
        <v>0.05</v>
      </c>
      <c r="N322">
        <v>226.1</v>
      </c>
      <c r="O322">
        <v>49.52</v>
      </c>
      <c r="P322" t="s">
        <v>25</v>
      </c>
      <c r="Q322" t="s">
        <v>26</v>
      </c>
    </row>
    <row r="323" spans="1:17" x14ac:dyDescent="0.35">
      <c r="A323" t="s">
        <v>505</v>
      </c>
      <c r="B323" s="1">
        <v>45781</v>
      </c>
      <c r="C323" s="1">
        <v>45785</v>
      </c>
      <c r="D323" t="s">
        <v>146</v>
      </c>
      <c r="E323" t="s">
        <v>19</v>
      </c>
      <c r="F323" t="s">
        <v>30</v>
      </c>
      <c r="G323" t="s">
        <v>31</v>
      </c>
      <c r="H323" t="s">
        <v>22</v>
      </c>
      <c r="I323" t="s">
        <v>105</v>
      </c>
      <c r="J323" t="s">
        <v>117</v>
      </c>
      <c r="K323">
        <v>4</v>
      </c>
      <c r="L323">
        <v>285</v>
      </c>
      <c r="M323">
        <v>0.1</v>
      </c>
      <c r="N323">
        <v>1026</v>
      </c>
      <c r="O323">
        <v>121.07</v>
      </c>
      <c r="P323" t="s">
        <v>35</v>
      </c>
      <c r="Q323" t="s">
        <v>36</v>
      </c>
    </row>
    <row r="324" spans="1:17" x14ac:dyDescent="0.35">
      <c r="A324" t="s">
        <v>506</v>
      </c>
      <c r="B324" s="1">
        <v>45783</v>
      </c>
      <c r="C324" s="1">
        <v>45790</v>
      </c>
      <c r="D324" t="s">
        <v>149</v>
      </c>
      <c r="E324" t="s">
        <v>29</v>
      </c>
      <c r="F324" t="s">
        <v>40</v>
      </c>
      <c r="G324" t="s">
        <v>41</v>
      </c>
      <c r="H324" t="s">
        <v>32</v>
      </c>
      <c r="I324" t="s">
        <v>109</v>
      </c>
      <c r="J324" t="s">
        <v>120</v>
      </c>
      <c r="K324">
        <v>7</v>
      </c>
      <c r="L324">
        <v>332</v>
      </c>
      <c r="M324">
        <v>0.15</v>
      </c>
      <c r="N324">
        <v>1975.4</v>
      </c>
      <c r="O324">
        <v>389.15</v>
      </c>
      <c r="P324" t="s">
        <v>45</v>
      </c>
      <c r="Q324" t="s">
        <v>46</v>
      </c>
    </row>
    <row r="325" spans="1:17" x14ac:dyDescent="0.35">
      <c r="A325" t="s">
        <v>507</v>
      </c>
      <c r="B325" s="1">
        <v>45784</v>
      </c>
      <c r="C325" s="1">
        <v>45786</v>
      </c>
      <c r="D325" t="s">
        <v>152</v>
      </c>
      <c r="E325" t="s">
        <v>39</v>
      </c>
      <c r="F325" t="s">
        <v>49</v>
      </c>
      <c r="G325" t="s">
        <v>50</v>
      </c>
      <c r="H325" t="s">
        <v>42</v>
      </c>
      <c r="I325" t="s">
        <v>113</v>
      </c>
      <c r="J325" t="s">
        <v>123</v>
      </c>
      <c r="K325">
        <v>2</v>
      </c>
      <c r="L325">
        <v>379</v>
      </c>
      <c r="M325">
        <v>0.2</v>
      </c>
      <c r="N325">
        <v>606.4</v>
      </c>
      <c r="O325">
        <v>-93.39</v>
      </c>
      <c r="P325" t="s">
        <v>52</v>
      </c>
      <c r="Q325" t="s">
        <v>53</v>
      </c>
    </row>
    <row r="326" spans="1:17" x14ac:dyDescent="0.35">
      <c r="A326" t="s">
        <v>508</v>
      </c>
      <c r="B326" s="1">
        <v>45786</v>
      </c>
      <c r="C326" s="1">
        <v>45791</v>
      </c>
      <c r="D326" t="s">
        <v>155</v>
      </c>
      <c r="E326" t="s">
        <v>19</v>
      </c>
      <c r="F326" t="s">
        <v>20</v>
      </c>
      <c r="G326" t="s">
        <v>56</v>
      </c>
      <c r="H326" t="s">
        <v>22</v>
      </c>
      <c r="I326" t="s">
        <v>23</v>
      </c>
      <c r="J326" t="s">
        <v>24</v>
      </c>
      <c r="K326">
        <v>5</v>
      </c>
      <c r="L326">
        <v>426</v>
      </c>
      <c r="M326">
        <v>0</v>
      </c>
      <c r="N326">
        <v>2130</v>
      </c>
      <c r="O326">
        <v>383.4</v>
      </c>
      <c r="P326" t="s">
        <v>25</v>
      </c>
      <c r="Q326" t="s">
        <v>26</v>
      </c>
    </row>
    <row r="327" spans="1:17" x14ac:dyDescent="0.35">
      <c r="A327" t="s">
        <v>509</v>
      </c>
      <c r="B327" s="1">
        <v>45787</v>
      </c>
      <c r="C327" s="1">
        <v>45795</v>
      </c>
      <c r="D327" t="s">
        <v>157</v>
      </c>
      <c r="E327" t="s">
        <v>29</v>
      </c>
      <c r="F327" t="s">
        <v>30</v>
      </c>
      <c r="G327" t="s">
        <v>60</v>
      </c>
      <c r="H327" t="s">
        <v>32</v>
      </c>
      <c r="I327" t="s">
        <v>33</v>
      </c>
      <c r="J327" t="s">
        <v>34</v>
      </c>
      <c r="K327">
        <v>8</v>
      </c>
      <c r="L327">
        <v>473</v>
      </c>
      <c r="M327">
        <v>0</v>
      </c>
      <c r="N327">
        <v>3784</v>
      </c>
      <c r="O327">
        <v>1097.3599999999999</v>
      </c>
      <c r="P327" t="s">
        <v>35</v>
      </c>
      <c r="Q327" t="s">
        <v>36</v>
      </c>
    </row>
    <row r="328" spans="1:17" x14ac:dyDescent="0.35">
      <c r="A328" t="s">
        <v>510</v>
      </c>
      <c r="B328" s="1">
        <v>45789</v>
      </c>
      <c r="C328" s="1">
        <v>45792</v>
      </c>
      <c r="D328" t="s">
        <v>159</v>
      </c>
      <c r="E328" t="s">
        <v>39</v>
      </c>
      <c r="F328" t="s">
        <v>40</v>
      </c>
      <c r="G328" t="s">
        <v>64</v>
      </c>
      <c r="H328" t="s">
        <v>42</v>
      </c>
      <c r="I328" t="s">
        <v>43</v>
      </c>
      <c r="J328" t="s">
        <v>44</v>
      </c>
      <c r="K328">
        <v>3</v>
      </c>
      <c r="L328">
        <v>520</v>
      </c>
      <c r="M328">
        <v>0.05</v>
      </c>
      <c r="N328">
        <v>1482</v>
      </c>
      <c r="O328">
        <v>324.56</v>
      </c>
      <c r="P328" t="s">
        <v>45</v>
      </c>
      <c r="Q328" t="s">
        <v>46</v>
      </c>
    </row>
    <row r="329" spans="1:17" x14ac:dyDescent="0.35">
      <c r="A329" t="s">
        <v>511</v>
      </c>
      <c r="B329" s="1">
        <v>45790</v>
      </c>
      <c r="C329" s="1">
        <v>45796</v>
      </c>
      <c r="D329" t="s">
        <v>161</v>
      </c>
      <c r="E329" t="s">
        <v>19</v>
      </c>
      <c r="F329" t="s">
        <v>49</v>
      </c>
      <c r="G329" t="s">
        <v>68</v>
      </c>
      <c r="H329" t="s">
        <v>22</v>
      </c>
      <c r="I329" t="s">
        <v>23</v>
      </c>
      <c r="J329" t="s">
        <v>51</v>
      </c>
      <c r="K329">
        <v>6</v>
      </c>
      <c r="L329">
        <v>567</v>
      </c>
      <c r="M329">
        <v>0.1</v>
      </c>
      <c r="N329">
        <v>3061.8</v>
      </c>
      <c r="O329">
        <v>361.29</v>
      </c>
      <c r="P329" t="s">
        <v>52</v>
      </c>
      <c r="Q329" t="s">
        <v>53</v>
      </c>
    </row>
    <row r="330" spans="1:17" x14ac:dyDescent="0.35">
      <c r="A330" t="s">
        <v>512</v>
      </c>
      <c r="B330" s="1">
        <v>45792</v>
      </c>
      <c r="C330" s="1">
        <v>45793</v>
      </c>
      <c r="D330" t="s">
        <v>163</v>
      </c>
      <c r="E330" t="s">
        <v>29</v>
      </c>
      <c r="F330" t="s">
        <v>20</v>
      </c>
      <c r="G330" t="s">
        <v>21</v>
      </c>
      <c r="H330" t="s">
        <v>32</v>
      </c>
      <c r="I330" t="s">
        <v>33</v>
      </c>
      <c r="J330" t="s">
        <v>57</v>
      </c>
      <c r="K330">
        <v>1</v>
      </c>
      <c r="L330">
        <v>614</v>
      </c>
      <c r="M330">
        <v>0.15</v>
      </c>
      <c r="N330">
        <v>521.9</v>
      </c>
      <c r="O330">
        <v>102.81</v>
      </c>
      <c r="P330" t="s">
        <v>25</v>
      </c>
      <c r="Q330" t="s">
        <v>26</v>
      </c>
    </row>
    <row r="331" spans="1:17" x14ac:dyDescent="0.35">
      <c r="A331" t="s">
        <v>513</v>
      </c>
      <c r="B331" s="1">
        <v>45794</v>
      </c>
      <c r="C331" s="1">
        <v>45798</v>
      </c>
      <c r="D331" t="s">
        <v>165</v>
      </c>
      <c r="E331" t="s">
        <v>39</v>
      </c>
      <c r="F331" t="s">
        <v>30</v>
      </c>
      <c r="G331" t="s">
        <v>31</v>
      </c>
      <c r="H331" t="s">
        <v>42</v>
      </c>
      <c r="I331" t="s">
        <v>43</v>
      </c>
      <c r="J331" t="s">
        <v>61</v>
      </c>
      <c r="K331">
        <v>4</v>
      </c>
      <c r="L331">
        <v>661</v>
      </c>
      <c r="M331">
        <v>0.2</v>
      </c>
      <c r="N331">
        <v>2115.1999999999998</v>
      </c>
      <c r="O331">
        <v>266.52</v>
      </c>
      <c r="P331" t="s">
        <v>35</v>
      </c>
      <c r="Q331" t="s">
        <v>36</v>
      </c>
    </row>
    <row r="332" spans="1:17" x14ac:dyDescent="0.35">
      <c r="A332" t="s">
        <v>514</v>
      </c>
      <c r="B332" s="1">
        <v>45795</v>
      </c>
      <c r="C332" s="1">
        <v>45802</v>
      </c>
      <c r="D332" t="s">
        <v>167</v>
      </c>
      <c r="E332" t="s">
        <v>19</v>
      </c>
      <c r="F332" t="s">
        <v>40</v>
      </c>
      <c r="G332" t="s">
        <v>41</v>
      </c>
      <c r="H332" t="s">
        <v>22</v>
      </c>
      <c r="I332" t="s">
        <v>23</v>
      </c>
      <c r="J332" t="s">
        <v>65</v>
      </c>
      <c r="K332">
        <v>7</v>
      </c>
      <c r="L332">
        <v>708</v>
      </c>
      <c r="M332">
        <v>0</v>
      </c>
      <c r="N332">
        <v>4956</v>
      </c>
      <c r="O332">
        <v>892.08</v>
      </c>
      <c r="P332" t="s">
        <v>45</v>
      </c>
      <c r="Q332" t="s">
        <v>46</v>
      </c>
    </row>
    <row r="333" spans="1:17" x14ac:dyDescent="0.35">
      <c r="A333" t="s">
        <v>515</v>
      </c>
      <c r="B333" s="1">
        <v>45797</v>
      </c>
      <c r="C333" s="1">
        <v>45799</v>
      </c>
      <c r="D333" t="s">
        <v>170</v>
      </c>
      <c r="E333" t="s">
        <v>29</v>
      </c>
      <c r="F333" t="s">
        <v>49</v>
      </c>
      <c r="G333" t="s">
        <v>50</v>
      </c>
      <c r="H333" t="s">
        <v>32</v>
      </c>
      <c r="I333" t="s">
        <v>33</v>
      </c>
      <c r="J333" t="s">
        <v>69</v>
      </c>
      <c r="K333">
        <v>2</v>
      </c>
      <c r="L333">
        <v>755</v>
      </c>
      <c r="M333">
        <v>0</v>
      </c>
      <c r="N333">
        <v>1510</v>
      </c>
      <c r="O333">
        <v>437.9</v>
      </c>
      <c r="P333" t="s">
        <v>52</v>
      </c>
      <c r="Q333" t="s">
        <v>53</v>
      </c>
    </row>
    <row r="334" spans="1:17" x14ac:dyDescent="0.35">
      <c r="A334" t="s">
        <v>516</v>
      </c>
      <c r="B334" s="1">
        <v>45798</v>
      </c>
      <c r="C334" s="1">
        <v>45803</v>
      </c>
      <c r="D334" t="s">
        <v>173</v>
      </c>
      <c r="E334" t="s">
        <v>39</v>
      </c>
      <c r="F334" t="s">
        <v>20</v>
      </c>
      <c r="G334" t="s">
        <v>56</v>
      </c>
      <c r="H334" t="s">
        <v>42</v>
      </c>
      <c r="I334" t="s">
        <v>43</v>
      </c>
      <c r="J334" t="s">
        <v>72</v>
      </c>
      <c r="K334">
        <v>5</v>
      </c>
      <c r="L334">
        <v>22</v>
      </c>
      <c r="M334">
        <v>0.05</v>
      </c>
      <c r="N334">
        <v>104.5</v>
      </c>
      <c r="O334">
        <v>22.89</v>
      </c>
      <c r="P334" t="s">
        <v>25</v>
      </c>
      <c r="Q334" t="s">
        <v>26</v>
      </c>
    </row>
    <row r="335" spans="1:17" x14ac:dyDescent="0.35">
      <c r="A335" t="s">
        <v>517</v>
      </c>
      <c r="B335" s="1">
        <v>45800</v>
      </c>
      <c r="C335" s="1">
        <v>45808</v>
      </c>
      <c r="D335" t="s">
        <v>176</v>
      </c>
      <c r="E335" t="s">
        <v>19</v>
      </c>
      <c r="F335" t="s">
        <v>30</v>
      </c>
      <c r="G335" t="s">
        <v>60</v>
      </c>
      <c r="H335" t="s">
        <v>22</v>
      </c>
      <c r="I335" t="s">
        <v>75</v>
      </c>
      <c r="J335" t="s">
        <v>76</v>
      </c>
      <c r="K335">
        <v>8</v>
      </c>
      <c r="L335">
        <v>69</v>
      </c>
      <c r="M335">
        <v>0.1</v>
      </c>
      <c r="N335">
        <v>496.8</v>
      </c>
      <c r="O335">
        <v>58.62</v>
      </c>
      <c r="P335" t="s">
        <v>35</v>
      </c>
      <c r="Q335" t="s">
        <v>36</v>
      </c>
    </row>
    <row r="336" spans="1:17" x14ac:dyDescent="0.35">
      <c r="A336" t="s">
        <v>518</v>
      </c>
      <c r="B336" s="1">
        <v>45801</v>
      </c>
      <c r="C336" s="1">
        <v>45804</v>
      </c>
      <c r="D336" t="s">
        <v>178</v>
      </c>
      <c r="E336" t="s">
        <v>29</v>
      </c>
      <c r="F336" t="s">
        <v>40</v>
      </c>
      <c r="G336" t="s">
        <v>64</v>
      </c>
      <c r="H336" t="s">
        <v>32</v>
      </c>
      <c r="I336" t="s">
        <v>79</v>
      </c>
      <c r="J336" t="s">
        <v>80</v>
      </c>
      <c r="K336">
        <v>3</v>
      </c>
      <c r="L336">
        <v>116</v>
      </c>
      <c r="M336">
        <v>0.15</v>
      </c>
      <c r="N336">
        <v>295.8</v>
      </c>
      <c r="O336">
        <v>58.27</v>
      </c>
      <c r="P336" t="s">
        <v>45</v>
      </c>
      <c r="Q336" t="s">
        <v>46</v>
      </c>
    </row>
    <row r="337" spans="1:17" x14ac:dyDescent="0.35">
      <c r="A337" t="s">
        <v>519</v>
      </c>
      <c r="B337" s="1">
        <v>45803</v>
      </c>
      <c r="C337" s="1">
        <v>45809</v>
      </c>
      <c r="D337" t="s">
        <v>180</v>
      </c>
      <c r="E337" t="s">
        <v>39</v>
      </c>
      <c r="F337" t="s">
        <v>49</v>
      </c>
      <c r="G337" t="s">
        <v>68</v>
      </c>
      <c r="H337" t="s">
        <v>42</v>
      </c>
      <c r="I337" t="s">
        <v>83</v>
      </c>
      <c r="J337" t="s">
        <v>84</v>
      </c>
      <c r="K337">
        <v>6</v>
      </c>
      <c r="L337">
        <v>163</v>
      </c>
      <c r="M337">
        <v>0.2</v>
      </c>
      <c r="N337">
        <v>782.4</v>
      </c>
      <c r="O337">
        <v>98.58</v>
      </c>
      <c r="P337" t="s">
        <v>52</v>
      </c>
      <c r="Q337" t="s">
        <v>53</v>
      </c>
    </row>
    <row r="338" spans="1:17" x14ac:dyDescent="0.35">
      <c r="A338" t="s">
        <v>520</v>
      </c>
      <c r="B338" s="1">
        <v>45804</v>
      </c>
      <c r="C338" s="1">
        <v>45805</v>
      </c>
      <c r="D338" t="s">
        <v>182</v>
      </c>
      <c r="E338" t="s">
        <v>19</v>
      </c>
      <c r="F338" t="s">
        <v>20</v>
      </c>
      <c r="G338" t="s">
        <v>21</v>
      </c>
      <c r="H338" t="s">
        <v>22</v>
      </c>
      <c r="I338" t="s">
        <v>75</v>
      </c>
      <c r="J338" t="s">
        <v>87</v>
      </c>
      <c r="K338">
        <v>1</v>
      </c>
      <c r="L338">
        <v>210</v>
      </c>
      <c r="M338">
        <v>0</v>
      </c>
      <c r="N338">
        <v>210</v>
      </c>
      <c r="O338">
        <v>37.799999999999997</v>
      </c>
      <c r="P338" t="s">
        <v>25</v>
      </c>
      <c r="Q338" t="s">
        <v>26</v>
      </c>
    </row>
    <row r="339" spans="1:17" x14ac:dyDescent="0.35">
      <c r="A339" t="s">
        <v>521</v>
      </c>
      <c r="B339" s="1">
        <v>45806</v>
      </c>
      <c r="C339" s="1">
        <v>45810</v>
      </c>
      <c r="D339" t="s">
        <v>184</v>
      </c>
      <c r="E339" t="s">
        <v>29</v>
      </c>
      <c r="F339" t="s">
        <v>30</v>
      </c>
      <c r="G339" t="s">
        <v>31</v>
      </c>
      <c r="H339" t="s">
        <v>32</v>
      </c>
      <c r="I339" t="s">
        <v>79</v>
      </c>
      <c r="J339" t="s">
        <v>90</v>
      </c>
      <c r="K339">
        <v>4</v>
      </c>
      <c r="L339">
        <v>257</v>
      </c>
      <c r="M339">
        <v>0</v>
      </c>
      <c r="N339">
        <v>1028</v>
      </c>
      <c r="O339">
        <v>298.12</v>
      </c>
      <c r="P339" t="s">
        <v>35</v>
      </c>
      <c r="Q339" t="s">
        <v>36</v>
      </c>
    </row>
    <row r="340" spans="1:17" x14ac:dyDescent="0.35">
      <c r="A340" t="s">
        <v>522</v>
      </c>
      <c r="B340" s="1">
        <v>45807</v>
      </c>
      <c r="C340" s="1">
        <v>45814</v>
      </c>
      <c r="D340" t="s">
        <v>186</v>
      </c>
      <c r="E340" t="s">
        <v>39</v>
      </c>
      <c r="F340" t="s">
        <v>40</v>
      </c>
      <c r="G340" t="s">
        <v>41</v>
      </c>
      <c r="H340" t="s">
        <v>42</v>
      </c>
      <c r="I340" t="s">
        <v>83</v>
      </c>
      <c r="J340" t="s">
        <v>93</v>
      </c>
      <c r="K340">
        <v>7</v>
      </c>
      <c r="L340">
        <v>304</v>
      </c>
      <c r="M340">
        <v>0.05</v>
      </c>
      <c r="N340">
        <v>2021.6</v>
      </c>
      <c r="O340">
        <v>442.73</v>
      </c>
      <c r="P340" t="s">
        <v>45</v>
      </c>
      <c r="Q340" t="s">
        <v>46</v>
      </c>
    </row>
    <row r="341" spans="1:17" x14ac:dyDescent="0.35">
      <c r="A341" t="s">
        <v>523</v>
      </c>
      <c r="B341" s="1">
        <v>45809</v>
      </c>
      <c r="C341" s="1">
        <v>45811</v>
      </c>
      <c r="D341" t="s">
        <v>188</v>
      </c>
      <c r="E341" t="s">
        <v>19</v>
      </c>
      <c r="F341" t="s">
        <v>49</v>
      </c>
      <c r="G341" t="s">
        <v>50</v>
      </c>
      <c r="H341" t="s">
        <v>22</v>
      </c>
      <c r="I341" t="s">
        <v>75</v>
      </c>
      <c r="J341" t="s">
        <v>96</v>
      </c>
      <c r="K341">
        <v>2</v>
      </c>
      <c r="L341">
        <v>351</v>
      </c>
      <c r="M341">
        <v>0.1</v>
      </c>
      <c r="N341">
        <v>631.79999999999995</v>
      </c>
      <c r="O341">
        <v>74.55</v>
      </c>
      <c r="P341" t="s">
        <v>52</v>
      </c>
      <c r="Q341" t="s">
        <v>53</v>
      </c>
    </row>
    <row r="342" spans="1:17" x14ac:dyDescent="0.35">
      <c r="A342" t="s">
        <v>524</v>
      </c>
      <c r="B342" s="1">
        <v>45810</v>
      </c>
      <c r="C342" s="1">
        <v>45815</v>
      </c>
      <c r="D342" t="s">
        <v>191</v>
      </c>
      <c r="E342" t="s">
        <v>29</v>
      </c>
      <c r="F342" t="s">
        <v>20</v>
      </c>
      <c r="G342" t="s">
        <v>56</v>
      </c>
      <c r="H342" t="s">
        <v>32</v>
      </c>
      <c r="I342" t="s">
        <v>79</v>
      </c>
      <c r="J342" t="s">
        <v>99</v>
      </c>
      <c r="K342">
        <v>5</v>
      </c>
      <c r="L342">
        <v>398</v>
      </c>
      <c r="M342">
        <v>0.15</v>
      </c>
      <c r="N342">
        <v>1691.5</v>
      </c>
      <c r="O342">
        <v>333.23</v>
      </c>
      <c r="P342" t="s">
        <v>25</v>
      </c>
      <c r="Q342" t="s">
        <v>26</v>
      </c>
    </row>
    <row r="343" spans="1:17" x14ac:dyDescent="0.35">
      <c r="A343" t="s">
        <v>525</v>
      </c>
      <c r="B343" s="1">
        <v>45812</v>
      </c>
      <c r="C343" s="1">
        <v>45820</v>
      </c>
      <c r="D343" t="s">
        <v>194</v>
      </c>
      <c r="E343" t="s">
        <v>39</v>
      </c>
      <c r="F343" t="s">
        <v>30</v>
      </c>
      <c r="G343" t="s">
        <v>60</v>
      </c>
      <c r="H343" t="s">
        <v>42</v>
      </c>
      <c r="I343" t="s">
        <v>83</v>
      </c>
      <c r="J343" t="s">
        <v>102</v>
      </c>
      <c r="K343">
        <v>8</v>
      </c>
      <c r="L343">
        <v>445</v>
      </c>
      <c r="M343">
        <v>0.2</v>
      </c>
      <c r="N343">
        <v>2848</v>
      </c>
      <c r="O343">
        <v>358.85</v>
      </c>
      <c r="P343" t="s">
        <v>35</v>
      </c>
      <c r="Q343" t="s">
        <v>36</v>
      </c>
    </row>
    <row r="344" spans="1:17" x14ac:dyDescent="0.35">
      <c r="A344" t="s">
        <v>526</v>
      </c>
      <c r="B344" s="1">
        <v>45813</v>
      </c>
      <c r="C344" s="1">
        <v>45816</v>
      </c>
      <c r="D344" t="s">
        <v>197</v>
      </c>
      <c r="E344" t="s">
        <v>19</v>
      </c>
      <c r="F344" t="s">
        <v>40</v>
      </c>
      <c r="G344" t="s">
        <v>64</v>
      </c>
      <c r="H344" t="s">
        <v>22</v>
      </c>
      <c r="I344" t="s">
        <v>105</v>
      </c>
      <c r="J344" t="s">
        <v>106</v>
      </c>
      <c r="K344">
        <v>3</v>
      </c>
      <c r="L344">
        <v>492</v>
      </c>
      <c r="M344">
        <v>0</v>
      </c>
      <c r="N344">
        <v>1476</v>
      </c>
      <c r="O344">
        <v>-147.6</v>
      </c>
      <c r="P344" t="s">
        <v>45</v>
      </c>
      <c r="Q344" t="s">
        <v>46</v>
      </c>
    </row>
    <row r="345" spans="1:17" x14ac:dyDescent="0.35">
      <c r="A345" t="s">
        <v>527</v>
      </c>
      <c r="B345" s="1">
        <v>45815</v>
      </c>
      <c r="C345" s="1">
        <v>45821</v>
      </c>
      <c r="D345" t="s">
        <v>199</v>
      </c>
      <c r="E345" t="s">
        <v>29</v>
      </c>
      <c r="F345" t="s">
        <v>49</v>
      </c>
      <c r="G345" t="s">
        <v>68</v>
      </c>
      <c r="H345" t="s">
        <v>32</v>
      </c>
      <c r="I345" t="s">
        <v>109</v>
      </c>
      <c r="J345" t="s">
        <v>110</v>
      </c>
      <c r="K345">
        <v>6</v>
      </c>
      <c r="L345">
        <v>539</v>
      </c>
      <c r="M345">
        <v>0</v>
      </c>
      <c r="N345">
        <v>3234</v>
      </c>
      <c r="O345">
        <v>937.86</v>
      </c>
      <c r="P345" t="s">
        <v>52</v>
      </c>
      <c r="Q345" t="s">
        <v>53</v>
      </c>
    </row>
    <row r="346" spans="1:17" x14ac:dyDescent="0.35">
      <c r="A346" t="s">
        <v>528</v>
      </c>
      <c r="B346" s="1">
        <v>45816</v>
      </c>
      <c r="C346" s="1">
        <v>45817</v>
      </c>
      <c r="D346" t="s">
        <v>201</v>
      </c>
      <c r="E346" t="s">
        <v>39</v>
      </c>
      <c r="F346" t="s">
        <v>20</v>
      </c>
      <c r="G346" t="s">
        <v>21</v>
      </c>
      <c r="H346" t="s">
        <v>42</v>
      </c>
      <c r="I346" t="s">
        <v>113</v>
      </c>
      <c r="J346" t="s">
        <v>114</v>
      </c>
      <c r="K346">
        <v>1</v>
      </c>
      <c r="L346">
        <v>586</v>
      </c>
      <c r="M346">
        <v>0.05</v>
      </c>
      <c r="N346">
        <v>556.70000000000005</v>
      </c>
      <c r="O346">
        <v>121.92</v>
      </c>
      <c r="P346" t="s">
        <v>25</v>
      </c>
      <c r="Q346" t="s">
        <v>26</v>
      </c>
    </row>
    <row r="347" spans="1:17" x14ac:dyDescent="0.35">
      <c r="A347" t="s">
        <v>529</v>
      </c>
      <c r="B347" s="1">
        <v>45818</v>
      </c>
      <c r="C347" s="1">
        <v>45822</v>
      </c>
      <c r="D347" t="s">
        <v>203</v>
      </c>
      <c r="E347" t="s">
        <v>19</v>
      </c>
      <c r="F347" t="s">
        <v>30</v>
      </c>
      <c r="G347" t="s">
        <v>31</v>
      </c>
      <c r="H347" t="s">
        <v>22</v>
      </c>
      <c r="I347" t="s">
        <v>105</v>
      </c>
      <c r="J347" t="s">
        <v>117</v>
      </c>
      <c r="K347">
        <v>4</v>
      </c>
      <c r="L347">
        <v>633</v>
      </c>
      <c r="M347">
        <v>0.1</v>
      </c>
      <c r="N347">
        <v>2278.8000000000002</v>
      </c>
      <c r="O347">
        <v>268.89999999999998</v>
      </c>
      <c r="P347" t="s">
        <v>35</v>
      </c>
      <c r="Q347" t="s">
        <v>36</v>
      </c>
    </row>
    <row r="348" spans="1:17" x14ac:dyDescent="0.35">
      <c r="A348" t="s">
        <v>530</v>
      </c>
      <c r="B348" s="1">
        <v>45819</v>
      </c>
      <c r="C348" s="1">
        <v>45826</v>
      </c>
      <c r="D348" t="s">
        <v>205</v>
      </c>
      <c r="E348" t="s">
        <v>29</v>
      </c>
      <c r="F348" t="s">
        <v>40</v>
      </c>
      <c r="G348" t="s">
        <v>41</v>
      </c>
      <c r="H348" t="s">
        <v>32</v>
      </c>
      <c r="I348" t="s">
        <v>109</v>
      </c>
      <c r="J348" t="s">
        <v>120</v>
      </c>
      <c r="K348">
        <v>7</v>
      </c>
      <c r="L348">
        <v>680</v>
      </c>
      <c r="M348">
        <v>0.15</v>
      </c>
      <c r="N348">
        <v>4046</v>
      </c>
      <c r="O348">
        <v>797.06</v>
      </c>
      <c r="P348" t="s">
        <v>45</v>
      </c>
      <c r="Q348" t="s">
        <v>46</v>
      </c>
    </row>
    <row r="349" spans="1:17" x14ac:dyDescent="0.35">
      <c r="A349" t="s">
        <v>531</v>
      </c>
      <c r="B349" s="1">
        <v>45821</v>
      </c>
      <c r="C349" s="1">
        <v>45823</v>
      </c>
      <c r="D349" t="s">
        <v>207</v>
      </c>
      <c r="E349" t="s">
        <v>39</v>
      </c>
      <c r="F349" t="s">
        <v>49</v>
      </c>
      <c r="G349" t="s">
        <v>50</v>
      </c>
      <c r="H349" t="s">
        <v>42</v>
      </c>
      <c r="I349" t="s">
        <v>113</v>
      </c>
      <c r="J349" t="s">
        <v>123</v>
      </c>
      <c r="K349">
        <v>2</v>
      </c>
      <c r="L349">
        <v>727</v>
      </c>
      <c r="M349">
        <v>0.2</v>
      </c>
      <c r="N349">
        <v>1163.2</v>
      </c>
      <c r="O349">
        <v>146.56</v>
      </c>
      <c r="P349" t="s">
        <v>52</v>
      </c>
      <c r="Q349" t="s">
        <v>53</v>
      </c>
    </row>
    <row r="350" spans="1:17" x14ac:dyDescent="0.35">
      <c r="A350" t="s">
        <v>532</v>
      </c>
      <c r="B350" s="1">
        <v>45822</v>
      </c>
      <c r="C350" s="1">
        <v>45827</v>
      </c>
      <c r="D350" t="s">
        <v>209</v>
      </c>
      <c r="E350" t="s">
        <v>19</v>
      </c>
      <c r="F350" t="s">
        <v>20</v>
      </c>
      <c r="G350" t="s">
        <v>56</v>
      </c>
      <c r="H350" t="s">
        <v>22</v>
      </c>
      <c r="I350" t="s">
        <v>105</v>
      </c>
      <c r="J350" t="s">
        <v>126</v>
      </c>
      <c r="K350">
        <v>5</v>
      </c>
      <c r="L350">
        <v>774</v>
      </c>
      <c r="M350">
        <v>0</v>
      </c>
      <c r="N350">
        <v>3870</v>
      </c>
      <c r="O350">
        <v>696.6</v>
      </c>
      <c r="P350" t="s">
        <v>25</v>
      </c>
      <c r="Q350" t="s">
        <v>26</v>
      </c>
    </row>
    <row r="351" spans="1:17" x14ac:dyDescent="0.35">
      <c r="A351" t="s">
        <v>533</v>
      </c>
      <c r="B351" s="1">
        <v>45824</v>
      </c>
      <c r="C351" s="1">
        <v>45832</v>
      </c>
      <c r="D351" t="s">
        <v>211</v>
      </c>
      <c r="E351" t="s">
        <v>29</v>
      </c>
      <c r="F351" t="s">
        <v>30</v>
      </c>
      <c r="G351" t="s">
        <v>60</v>
      </c>
      <c r="H351" t="s">
        <v>32</v>
      </c>
      <c r="I351" t="s">
        <v>109</v>
      </c>
      <c r="J351" t="s">
        <v>129</v>
      </c>
      <c r="K351">
        <v>8</v>
      </c>
      <c r="L351">
        <v>41</v>
      </c>
      <c r="M351">
        <v>0</v>
      </c>
      <c r="N351">
        <v>328</v>
      </c>
      <c r="O351">
        <v>95.12</v>
      </c>
      <c r="P351" t="s">
        <v>35</v>
      </c>
      <c r="Q351" t="s">
        <v>36</v>
      </c>
    </row>
    <row r="352" spans="1:17" x14ac:dyDescent="0.35">
      <c r="A352" t="s">
        <v>534</v>
      </c>
      <c r="B352" s="1">
        <v>45825</v>
      </c>
      <c r="C352" s="1">
        <v>45828</v>
      </c>
      <c r="D352" t="s">
        <v>213</v>
      </c>
      <c r="E352" t="s">
        <v>39</v>
      </c>
      <c r="F352" t="s">
        <v>40</v>
      </c>
      <c r="G352" t="s">
        <v>64</v>
      </c>
      <c r="H352" t="s">
        <v>42</v>
      </c>
      <c r="I352" t="s">
        <v>113</v>
      </c>
      <c r="J352" t="s">
        <v>132</v>
      </c>
      <c r="K352">
        <v>3</v>
      </c>
      <c r="L352">
        <v>88</v>
      </c>
      <c r="M352">
        <v>0.05</v>
      </c>
      <c r="N352">
        <v>250.8</v>
      </c>
      <c r="O352">
        <v>54.93</v>
      </c>
      <c r="P352" t="s">
        <v>45</v>
      </c>
      <c r="Q352" t="s">
        <v>46</v>
      </c>
    </row>
    <row r="353" spans="1:17" x14ac:dyDescent="0.35">
      <c r="A353" t="s">
        <v>535</v>
      </c>
      <c r="B353" s="1">
        <v>45827</v>
      </c>
      <c r="C353" s="1">
        <v>45833</v>
      </c>
      <c r="D353" t="s">
        <v>215</v>
      </c>
      <c r="E353" t="s">
        <v>19</v>
      </c>
      <c r="F353" t="s">
        <v>49</v>
      </c>
      <c r="G353" t="s">
        <v>68</v>
      </c>
      <c r="H353" t="s">
        <v>22</v>
      </c>
      <c r="I353" t="s">
        <v>23</v>
      </c>
      <c r="J353" t="s">
        <v>51</v>
      </c>
      <c r="K353">
        <v>6</v>
      </c>
      <c r="L353">
        <v>135</v>
      </c>
      <c r="M353">
        <v>0.1</v>
      </c>
      <c r="N353">
        <v>729</v>
      </c>
      <c r="O353">
        <v>86.02</v>
      </c>
      <c r="P353" t="s">
        <v>52</v>
      </c>
      <c r="Q353" t="s">
        <v>53</v>
      </c>
    </row>
    <row r="354" spans="1:17" x14ac:dyDescent="0.35">
      <c r="A354" t="s">
        <v>536</v>
      </c>
      <c r="B354" s="1">
        <v>45828</v>
      </c>
      <c r="C354" s="1">
        <v>45829</v>
      </c>
      <c r="D354" t="s">
        <v>217</v>
      </c>
      <c r="E354" t="s">
        <v>29</v>
      </c>
      <c r="F354" t="s">
        <v>20</v>
      </c>
      <c r="G354" t="s">
        <v>21</v>
      </c>
      <c r="H354" t="s">
        <v>32</v>
      </c>
      <c r="I354" t="s">
        <v>33</v>
      </c>
      <c r="J354" t="s">
        <v>57</v>
      </c>
      <c r="K354">
        <v>1</v>
      </c>
      <c r="L354">
        <v>182</v>
      </c>
      <c r="M354">
        <v>0.15</v>
      </c>
      <c r="N354">
        <v>154.69999999999999</v>
      </c>
      <c r="O354">
        <v>30.48</v>
      </c>
      <c r="P354" t="s">
        <v>25</v>
      </c>
      <c r="Q354" t="s">
        <v>26</v>
      </c>
    </row>
    <row r="355" spans="1:17" x14ac:dyDescent="0.35">
      <c r="A355" t="s">
        <v>537</v>
      </c>
      <c r="B355" s="1">
        <v>45830</v>
      </c>
      <c r="C355" s="1">
        <v>45834</v>
      </c>
      <c r="D355" t="s">
        <v>219</v>
      </c>
      <c r="E355" t="s">
        <v>39</v>
      </c>
      <c r="F355" t="s">
        <v>30</v>
      </c>
      <c r="G355" t="s">
        <v>31</v>
      </c>
      <c r="H355" t="s">
        <v>42</v>
      </c>
      <c r="I355" t="s">
        <v>43</v>
      </c>
      <c r="J355" t="s">
        <v>61</v>
      </c>
      <c r="K355">
        <v>4</v>
      </c>
      <c r="L355">
        <v>229</v>
      </c>
      <c r="M355">
        <v>0.2</v>
      </c>
      <c r="N355">
        <v>732.8</v>
      </c>
      <c r="O355">
        <v>92.33</v>
      </c>
      <c r="P355" t="s">
        <v>35</v>
      </c>
      <c r="Q355" t="s">
        <v>36</v>
      </c>
    </row>
    <row r="356" spans="1:17" x14ac:dyDescent="0.35">
      <c r="A356" t="s">
        <v>538</v>
      </c>
      <c r="B356" s="1">
        <v>45832</v>
      </c>
      <c r="C356" s="1">
        <v>45839</v>
      </c>
      <c r="D356" t="s">
        <v>221</v>
      </c>
      <c r="E356" t="s">
        <v>19</v>
      </c>
      <c r="F356" t="s">
        <v>40</v>
      </c>
      <c r="G356" t="s">
        <v>41</v>
      </c>
      <c r="H356" t="s">
        <v>22</v>
      </c>
      <c r="I356" t="s">
        <v>23</v>
      </c>
      <c r="J356" t="s">
        <v>65</v>
      </c>
      <c r="K356">
        <v>7</v>
      </c>
      <c r="L356">
        <v>276</v>
      </c>
      <c r="M356">
        <v>0</v>
      </c>
      <c r="N356">
        <v>1932</v>
      </c>
      <c r="O356">
        <v>347.76</v>
      </c>
      <c r="P356" t="s">
        <v>45</v>
      </c>
      <c r="Q356" t="s">
        <v>46</v>
      </c>
    </row>
    <row r="357" spans="1:17" x14ac:dyDescent="0.35">
      <c r="A357" t="s">
        <v>539</v>
      </c>
      <c r="B357" s="1">
        <v>45833</v>
      </c>
      <c r="C357" s="1">
        <v>45835</v>
      </c>
      <c r="D357" t="s">
        <v>223</v>
      </c>
      <c r="E357" t="s">
        <v>29</v>
      </c>
      <c r="F357" t="s">
        <v>49</v>
      </c>
      <c r="G357" t="s">
        <v>50</v>
      </c>
      <c r="H357" t="s">
        <v>32</v>
      </c>
      <c r="I357" t="s">
        <v>33</v>
      </c>
      <c r="J357" t="s">
        <v>69</v>
      </c>
      <c r="K357">
        <v>2</v>
      </c>
      <c r="L357">
        <v>323</v>
      </c>
      <c r="M357">
        <v>0</v>
      </c>
      <c r="N357">
        <v>646</v>
      </c>
      <c r="O357">
        <v>187.34</v>
      </c>
      <c r="P357" t="s">
        <v>52</v>
      </c>
      <c r="Q357" t="s">
        <v>53</v>
      </c>
    </row>
    <row r="358" spans="1:17" x14ac:dyDescent="0.35">
      <c r="A358" t="s">
        <v>540</v>
      </c>
      <c r="B358" s="1">
        <v>45835</v>
      </c>
      <c r="C358" s="1">
        <v>45840</v>
      </c>
      <c r="D358" t="s">
        <v>225</v>
      </c>
      <c r="E358" t="s">
        <v>39</v>
      </c>
      <c r="F358" t="s">
        <v>20</v>
      </c>
      <c r="G358" t="s">
        <v>56</v>
      </c>
      <c r="H358" t="s">
        <v>42</v>
      </c>
      <c r="I358" t="s">
        <v>43</v>
      </c>
      <c r="J358" t="s">
        <v>72</v>
      </c>
      <c r="K358">
        <v>5</v>
      </c>
      <c r="L358">
        <v>370</v>
      </c>
      <c r="M358">
        <v>0.05</v>
      </c>
      <c r="N358">
        <v>1757.5</v>
      </c>
      <c r="O358">
        <v>384.89</v>
      </c>
      <c r="P358" t="s">
        <v>25</v>
      </c>
      <c r="Q358" t="s">
        <v>26</v>
      </c>
    </row>
    <row r="359" spans="1:17" x14ac:dyDescent="0.35">
      <c r="A359" t="s">
        <v>541</v>
      </c>
      <c r="B359" s="1">
        <v>45836</v>
      </c>
      <c r="C359" s="1">
        <v>45844</v>
      </c>
      <c r="D359" t="s">
        <v>227</v>
      </c>
      <c r="E359" t="s">
        <v>19</v>
      </c>
      <c r="F359" t="s">
        <v>30</v>
      </c>
      <c r="G359" t="s">
        <v>60</v>
      </c>
      <c r="H359" t="s">
        <v>22</v>
      </c>
      <c r="I359" t="s">
        <v>23</v>
      </c>
      <c r="J359" t="s">
        <v>147</v>
      </c>
      <c r="K359">
        <v>8</v>
      </c>
      <c r="L359">
        <v>417</v>
      </c>
      <c r="M359">
        <v>0.1</v>
      </c>
      <c r="N359">
        <v>3002.4</v>
      </c>
      <c r="O359">
        <v>354.28</v>
      </c>
      <c r="P359" t="s">
        <v>35</v>
      </c>
      <c r="Q359" t="s">
        <v>36</v>
      </c>
    </row>
    <row r="360" spans="1:17" x14ac:dyDescent="0.35">
      <c r="A360" t="s">
        <v>542</v>
      </c>
      <c r="B360" s="1">
        <v>45838</v>
      </c>
      <c r="C360" s="1">
        <v>45841</v>
      </c>
      <c r="D360" t="s">
        <v>229</v>
      </c>
      <c r="E360" t="s">
        <v>29</v>
      </c>
      <c r="F360" t="s">
        <v>40</v>
      </c>
      <c r="G360" t="s">
        <v>64</v>
      </c>
      <c r="H360" t="s">
        <v>32</v>
      </c>
      <c r="I360" t="s">
        <v>33</v>
      </c>
      <c r="J360" t="s">
        <v>150</v>
      </c>
      <c r="K360">
        <v>3</v>
      </c>
      <c r="L360">
        <v>464</v>
      </c>
      <c r="M360">
        <v>0.15</v>
      </c>
      <c r="N360">
        <v>1183.2</v>
      </c>
      <c r="O360">
        <v>233.09</v>
      </c>
      <c r="P360" t="s">
        <v>45</v>
      </c>
      <c r="Q360" t="s">
        <v>46</v>
      </c>
    </row>
    <row r="361" spans="1:17" x14ac:dyDescent="0.35">
      <c r="A361" t="s">
        <v>543</v>
      </c>
      <c r="B361" s="1">
        <v>45839</v>
      </c>
      <c r="C361" s="1">
        <v>45845</v>
      </c>
      <c r="D361" t="s">
        <v>231</v>
      </c>
      <c r="E361" t="s">
        <v>39</v>
      </c>
      <c r="F361" t="s">
        <v>49</v>
      </c>
      <c r="G361" t="s">
        <v>68</v>
      </c>
      <c r="H361" t="s">
        <v>42</v>
      </c>
      <c r="I361" t="s">
        <v>43</v>
      </c>
      <c r="J361" t="s">
        <v>153</v>
      </c>
      <c r="K361">
        <v>6</v>
      </c>
      <c r="L361">
        <v>511</v>
      </c>
      <c r="M361">
        <v>0.2</v>
      </c>
      <c r="N361">
        <v>2452.8000000000002</v>
      </c>
      <c r="O361">
        <v>309.05</v>
      </c>
      <c r="P361" t="s">
        <v>52</v>
      </c>
      <c r="Q361" t="s">
        <v>53</v>
      </c>
    </row>
    <row r="362" spans="1:17" x14ac:dyDescent="0.35">
      <c r="A362" t="s">
        <v>544</v>
      </c>
      <c r="B362" s="1">
        <v>45841</v>
      </c>
      <c r="C362" s="1">
        <v>45842</v>
      </c>
      <c r="D362" t="s">
        <v>233</v>
      </c>
      <c r="E362" t="s">
        <v>19</v>
      </c>
      <c r="F362" t="s">
        <v>20</v>
      </c>
      <c r="G362" t="s">
        <v>21</v>
      </c>
      <c r="H362" t="s">
        <v>22</v>
      </c>
      <c r="I362" t="s">
        <v>75</v>
      </c>
      <c r="J362" t="s">
        <v>87</v>
      </c>
      <c r="K362">
        <v>1</v>
      </c>
      <c r="L362">
        <v>558</v>
      </c>
      <c r="M362">
        <v>0</v>
      </c>
      <c r="N362">
        <v>558</v>
      </c>
      <c r="O362">
        <v>100.44</v>
      </c>
      <c r="P362" t="s">
        <v>25</v>
      </c>
      <c r="Q362" t="s">
        <v>26</v>
      </c>
    </row>
    <row r="363" spans="1:17" x14ac:dyDescent="0.35">
      <c r="A363" t="s">
        <v>545</v>
      </c>
      <c r="B363" s="1">
        <v>45842</v>
      </c>
      <c r="C363" s="1">
        <v>45846</v>
      </c>
      <c r="D363" t="s">
        <v>235</v>
      </c>
      <c r="E363" t="s">
        <v>29</v>
      </c>
      <c r="F363" t="s">
        <v>30</v>
      </c>
      <c r="G363" t="s">
        <v>31</v>
      </c>
      <c r="H363" t="s">
        <v>32</v>
      </c>
      <c r="I363" t="s">
        <v>79</v>
      </c>
      <c r="J363" t="s">
        <v>90</v>
      </c>
      <c r="K363">
        <v>4</v>
      </c>
      <c r="L363">
        <v>605</v>
      </c>
      <c r="M363">
        <v>0</v>
      </c>
      <c r="N363">
        <v>2420</v>
      </c>
      <c r="O363">
        <v>24.2</v>
      </c>
      <c r="P363" t="s">
        <v>35</v>
      </c>
      <c r="Q363" t="s">
        <v>36</v>
      </c>
    </row>
    <row r="364" spans="1:17" x14ac:dyDescent="0.35">
      <c r="A364" t="s">
        <v>546</v>
      </c>
      <c r="B364" s="1">
        <v>45844</v>
      </c>
      <c r="C364" s="1">
        <v>45851</v>
      </c>
      <c r="D364" t="s">
        <v>237</v>
      </c>
      <c r="E364" t="s">
        <v>39</v>
      </c>
      <c r="F364" t="s">
        <v>40</v>
      </c>
      <c r="G364" t="s">
        <v>41</v>
      </c>
      <c r="H364" t="s">
        <v>42</v>
      </c>
      <c r="I364" t="s">
        <v>83</v>
      </c>
      <c r="J364" t="s">
        <v>93</v>
      </c>
      <c r="K364">
        <v>7</v>
      </c>
      <c r="L364">
        <v>652</v>
      </c>
      <c r="M364">
        <v>0.05</v>
      </c>
      <c r="N364">
        <v>4335.8</v>
      </c>
      <c r="O364">
        <v>949.54</v>
      </c>
      <c r="P364" t="s">
        <v>45</v>
      </c>
      <c r="Q364" t="s">
        <v>46</v>
      </c>
    </row>
    <row r="365" spans="1:17" x14ac:dyDescent="0.35">
      <c r="A365" t="s">
        <v>547</v>
      </c>
      <c r="B365" s="1">
        <v>45845</v>
      </c>
      <c r="C365" s="1">
        <v>45847</v>
      </c>
      <c r="D365" t="s">
        <v>239</v>
      </c>
      <c r="E365" t="s">
        <v>19</v>
      </c>
      <c r="F365" t="s">
        <v>49</v>
      </c>
      <c r="G365" t="s">
        <v>50</v>
      </c>
      <c r="H365" t="s">
        <v>22</v>
      </c>
      <c r="I365" t="s">
        <v>75</v>
      </c>
      <c r="J365" t="s">
        <v>96</v>
      </c>
      <c r="K365">
        <v>2</v>
      </c>
      <c r="L365">
        <v>699</v>
      </c>
      <c r="M365">
        <v>0.1</v>
      </c>
      <c r="N365">
        <v>1258.2</v>
      </c>
      <c r="O365">
        <v>148.47</v>
      </c>
      <c r="P365" t="s">
        <v>52</v>
      </c>
      <c r="Q365" t="s">
        <v>53</v>
      </c>
    </row>
    <row r="366" spans="1:17" x14ac:dyDescent="0.35">
      <c r="A366" t="s">
        <v>548</v>
      </c>
      <c r="B366" s="1">
        <v>45847</v>
      </c>
      <c r="C366" s="1">
        <v>45852</v>
      </c>
      <c r="D366" t="s">
        <v>241</v>
      </c>
      <c r="E366" t="s">
        <v>29</v>
      </c>
      <c r="F366" t="s">
        <v>20</v>
      </c>
      <c r="G366" t="s">
        <v>56</v>
      </c>
      <c r="H366" t="s">
        <v>32</v>
      </c>
      <c r="I366" t="s">
        <v>79</v>
      </c>
      <c r="J366" t="s">
        <v>99</v>
      </c>
      <c r="K366">
        <v>5</v>
      </c>
      <c r="L366">
        <v>746</v>
      </c>
      <c r="M366">
        <v>0.15</v>
      </c>
      <c r="N366">
        <v>3170.5</v>
      </c>
      <c r="O366">
        <v>624.59</v>
      </c>
      <c r="P366" t="s">
        <v>25</v>
      </c>
      <c r="Q366" t="s">
        <v>26</v>
      </c>
    </row>
    <row r="367" spans="1:17" x14ac:dyDescent="0.35">
      <c r="A367" t="s">
        <v>549</v>
      </c>
      <c r="B367" s="1">
        <v>45848</v>
      </c>
      <c r="C367" s="1">
        <v>45856</v>
      </c>
      <c r="D367" t="s">
        <v>243</v>
      </c>
      <c r="E367" t="s">
        <v>39</v>
      </c>
      <c r="F367" t="s">
        <v>30</v>
      </c>
      <c r="G367" t="s">
        <v>60</v>
      </c>
      <c r="H367" t="s">
        <v>42</v>
      </c>
      <c r="I367" t="s">
        <v>83</v>
      </c>
      <c r="J367" t="s">
        <v>102</v>
      </c>
      <c r="K367">
        <v>8</v>
      </c>
      <c r="L367">
        <v>793</v>
      </c>
      <c r="M367">
        <v>0.2</v>
      </c>
      <c r="N367">
        <v>5075.2</v>
      </c>
      <c r="O367">
        <v>639.48</v>
      </c>
      <c r="P367" t="s">
        <v>35</v>
      </c>
      <c r="Q367" t="s">
        <v>36</v>
      </c>
    </row>
    <row r="368" spans="1:17" x14ac:dyDescent="0.35">
      <c r="A368" t="s">
        <v>550</v>
      </c>
      <c r="B368" s="1">
        <v>45850</v>
      </c>
      <c r="C368" s="1">
        <v>45853</v>
      </c>
      <c r="D368" t="s">
        <v>245</v>
      </c>
      <c r="E368" t="s">
        <v>19</v>
      </c>
      <c r="F368" t="s">
        <v>40</v>
      </c>
      <c r="G368" t="s">
        <v>64</v>
      </c>
      <c r="H368" t="s">
        <v>22</v>
      </c>
      <c r="I368" t="s">
        <v>75</v>
      </c>
      <c r="J368" t="s">
        <v>168</v>
      </c>
      <c r="K368">
        <v>3</v>
      </c>
      <c r="L368">
        <v>60</v>
      </c>
      <c r="M368">
        <v>0</v>
      </c>
      <c r="N368">
        <v>180</v>
      </c>
      <c r="O368">
        <v>32.4</v>
      </c>
      <c r="P368" t="s">
        <v>45</v>
      </c>
      <c r="Q368" t="s">
        <v>46</v>
      </c>
    </row>
    <row r="369" spans="1:17" x14ac:dyDescent="0.35">
      <c r="A369" t="s">
        <v>551</v>
      </c>
      <c r="B369" s="1">
        <v>45851</v>
      </c>
      <c r="C369" s="1">
        <v>45857</v>
      </c>
      <c r="D369" t="s">
        <v>247</v>
      </c>
      <c r="E369" t="s">
        <v>29</v>
      </c>
      <c r="F369" t="s">
        <v>49</v>
      </c>
      <c r="G369" t="s">
        <v>68</v>
      </c>
      <c r="H369" t="s">
        <v>32</v>
      </c>
      <c r="I369" t="s">
        <v>79</v>
      </c>
      <c r="J369" t="s">
        <v>171</v>
      </c>
      <c r="K369">
        <v>6</v>
      </c>
      <c r="L369">
        <v>107</v>
      </c>
      <c r="M369">
        <v>0</v>
      </c>
      <c r="N369">
        <v>642</v>
      </c>
      <c r="O369">
        <v>186.18</v>
      </c>
      <c r="P369" t="s">
        <v>52</v>
      </c>
      <c r="Q369" t="s">
        <v>53</v>
      </c>
    </row>
    <row r="370" spans="1:17" x14ac:dyDescent="0.35">
      <c r="A370" t="s">
        <v>552</v>
      </c>
      <c r="B370" s="1">
        <v>45853</v>
      </c>
      <c r="C370" s="1">
        <v>45854</v>
      </c>
      <c r="D370" t="s">
        <v>249</v>
      </c>
      <c r="E370" t="s">
        <v>39</v>
      </c>
      <c r="F370" t="s">
        <v>20</v>
      </c>
      <c r="G370" t="s">
        <v>21</v>
      </c>
      <c r="H370" t="s">
        <v>42</v>
      </c>
      <c r="I370" t="s">
        <v>83</v>
      </c>
      <c r="J370" t="s">
        <v>174</v>
      </c>
      <c r="K370">
        <v>1</v>
      </c>
      <c r="L370">
        <v>154</v>
      </c>
      <c r="M370">
        <v>0.05</v>
      </c>
      <c r="N370">
        <v>146.30000000000001</v>
      </c>
      <c r="O370">
        <v>32.04</v>
      </c>
      <c r="P370" t="s">
        <v>25</v>
      </c>
      <c r="Q370" t="s">
        <v>26</v>
      </c>
    </row>
    <row r="371" spans="1:17" x14ac:dyDescent="0.35">
      <c r="A371" t="s">
        <v>553</v>
      </c>
      <c r="B371" s="1">
        <v>45854</v>
      </c>
      <c r="C371" s="1">
        <v>45858</v>
      </c>
      <c r="D371" t="s">
        <v>251</v>
      </c>
      <c r="E371" t="s">
        <v>19</v>
      </c>
      <c r="F371" t="s">
        <v>30</v>
      </c>
      <c r="G371" t="s">
        <v>31</v>
      </c>
      <c r="H371" t="s">
        <v>22</v>
      </c>
      <c r="I371" t="s">
        <v>105</v>
      </c>
      <c r="J371" t="s">
        <v>117</v>
      </c>
      <c r="K371">
        <v>4</v>
      </c>
      <c r="L371">
        <v>201</v>
      </c>
      <c r="M371">
        <v>0.1</v>
      </c>
      <c r="N371">
        <v>723.6</v>
      </c>
      <c r="O371">
        <v>85.38</v>
      </c>
      <c r="P371" t="s">
        <v>35</v>
      </c>
      <c r="Q371" t="s">
        <v>36</v>
      </c>
    </row>
    <row r="372" spans="1:17" x14ac:dyDescent="0.35">
      <c r="A372" t="s">
        <v>554</v>
      </c>
      <c r="B372" s="1">
        <v>45856</v>
      </c>
      <c r="C372" s="1">
        <v>45863</v>
      </c>
      <c r="D372" t="s">
        <v>253</v>
      </c>
      <c r="E372" t="s">
        <v>29</v>
      </c>
      <c r="F372" t="s">
        <v>40</v>
      </c>
      <c r="G372" t="s">
        <v>41</v>
      </c>
      <c r="H372" t="s">
        <v>32</v>
      </c>
      <c r="I372" t="s">
        <v>109</v>
      </c>
      <c r="J372" t="s">
        <v>120</v>
      </c>
      <c r="K372">
        <v>7</v>
      </c>
      <c r="L372">
        <v>248</v>
      </c>
      <c r="M372">
        <v>0.15</v>
      </c>
      <c r="N372">
        <v>1475.6</v>
      </c>
      <c r="O372">
        <v>290.69</v>
      </c>
      <c r="P372" t="s">
        <v>45</v>
      </c>
      <c r="Q372" t="s">
        <v>46</v>
      </c>
    </row>
    <row r="373" spans="1:17" x14ac:dyDescent="0.35">
      <c r="A373" t="s">
        <v>555</v>
      </c>
      <c r="B373" s="1">
        <v>45857</v>
      </c>
      <c r="C373" s="1">
        <v>45859</v>
      </c>
      <c r="D373" t="s">
        <v>255</v>
      </c>
      <c r="E373" t="s">
        <v>39</v>
      </c>
      <c r="F373" t="s">
        <v>49</v>
      </c>
      <c r="G373" t="s">
        <v>50</v>
      </c>
      <c r="H373" t="s">
        <v>42</v>
      </c>
      <c r="I373" t="s">
        <v>113</v>
      </c>
      <c r="J373" t="s">
        <v>123</v>
      </c>
      <c r="K373">
        <v>2</v>
      </c>
      <c r="L373">
        <v>295</v>
      </c>
      <c r="M373">
        <v>0.2</v>
      </c>
      <c r="N373">
        <v>472</v>
      </c>
      <c r="O373">
        <v>59.47</v>
      </c>
      <c r="P373" t="s">
        <v>52</v>
      </c>
      <c r="Q373" t="s">
        <v>53</v>
      </c>
    </row>
    <row r="374" spans="1:17" x14ac:dyDescent="0.35">
      <c r="A374" t="s">
        <v>556</v>
      </c>
      <c r="B374" s="1">
        <v>45859</v>
      </c>
      <c r="C374" s="1">
        <v>45864</v>
      </c>
      <c r="D374" t="s">
        <v>257</v>
      </c>
      <c r="E374" t="s">
        <v>19</v>
      </c>
      <c r="F374" t="s">
        <v>20</v>
      </c>
      <c r="G374" t="s">
        <v>56</v>
      </c>
      <c r="H374" t="s">
        <v>22</v>
      </c>
      <c r="I374" t="s">
        <v>105</v>
      </c>
      <c r="J374" t="s">
        <v>126</v>
      </c>
      <c r="K374">
        <v>5</v>
      </c>
      <c r="L374">
        <v>342</v>
      </c>
      <c r="M374">
        <v>0</v>
      </c>
      <c r="N374">
        <v>1710</v>
      </c>
      <c r="O374">
        <v>307.8</v>
      </c>
      <c r="P374" t="s">
        <v>25</v>
      </c>
      <c r="Q374" t="s">
        <v>26</v>
      </c>
    </row>
    <row r="375" spans="1:17" x14ac:dyDescent="0.35">
      <c r="A375" t="s">
        <v>557</v>
      </c>
      <c r="B375" s="1">
        <v>45860</v>
      </c>
      <c r="C375" s="1">
        <v>45868</v>
      </c>
      <c r="D375" t="s">
        <v>259</v>
      </c>
      <c r="E375" t="s">
        <v>29</v>
      </c>
      <c r="F375" t="s">
        <v>30</v>
      </c>
      <c r="G375" t="s">
        <v>60</v>
      </c>
      <c r="H375" t="s">
        <v>32</v>
      </c>
      <c r="I375" t="s">
        <v>109</v>
      </c>
      <c r="J375" t="s">
        <v>129</v>
      </c>
      <c r="K375">
        <v>8</v>
      </c>
      <c r="L375">
        <v>389</v>
      </c>
      <c r="M375">
        <v>0</v>
      </c>
      <c r="N375">
        <v>3112</v>
      </c>
      <c r="O375">
        <v>902.48</v>
      </c>
      <c r="P375" t="s">
        <v>35</v>
      </c>
      <c r="Q375" t="s">
        <v>36</v>
      </c>
    </row>
    <row r="376" spans="1:17" x14ac:dyDescent="0.35">
      <c r="A376" t="s">
        <v>558</v>
      </c>
      <c r="B376" s="1">
        <v>45862</v>
      </c>
      <c r="C376" s="1">
        <v>45865</v>
      </c>
      <c r="D376" t="s">
        <v>261</v>
      </c>
      <c r="E376" t="s">
        <v>39</v>
      </c>
      <c r="F376" t="s">
        <v>40</v>
      </c>
      <c r="G376" t="s">
        <v>64</v>
      </c>
      <c r="H376" t="s">
        <v>42</v>
      </c>
      <c r="I376" t="s">
        <v>113</v>
      </c>
      <c r="J376" t="s">
        <v>132</v>
      </c>
      <c r="K376">
        <v>3</v>
      </c>
      <c r="L376">
        <v>436</v>
      </c>
      <c r="M376">
        <v>0.05</v>
      </c>
      <c r="N376">
        <v>1242.5999999999999</v>
      </c>
      <c r="O376">
        <v>272.13</v>
      </c>
      <c r="P376" t="s">
        <v>45</v>
      </c>
      <c r="Q376" t="s">
        <v>46</v>
      </c>
    </row>
    <row r="377" spans="1:17" x14ac:dyDescent="0.35">
      <c r="A377" t="s">
        <v>559</v>
      </c>
      <c r="B377" s="1">
        <v>45863</v>
      </c>
      <c r="C377" s="1">
        <v>45869</v>
      </c>
      <c r="D377" t="s">
        <v>263</v>
      </c>
      <c r="E377" t="s">
        <v>19</v>
      </c>
      <c r="F377" t="s">
        <v>49</v>
      </c>
      <c r="G377" t="s">
        <v>68</v>
      </c>
      <c r="H377" t="s">
        <v>22</v>
      </c>
      <c r="I377" t="s">
        <v>105</v>
      </c>
      <c r="J377" t="s">
        <v>189</v>
      </c>
      <c r="K377">
        <v>6</v>
      </c>
      <c r="L377">
        <v>483</v>
      </c>
      <c r="M377">
        <v>0.1</v>
      </c>
      <c r="N377">
        <v>2608.1999999999998</v>
      </c>
      <c r="O377">
        <v>307.77</v>
      </c>
      <c r="P377" t="s">
        <v>52</v>
      </c>
      <c r="Q377" t="s">
        <v>53</v>
      </c>
    </row>
    <row r="378" spans="1:17" x14ac:dyDescent="0.35">
      <c r="A378" t="s">
        <v>560</v>
      </c>
      <c r="B378" s="1">
        <v>45865</v>
      </c>
      <c r="C378" s="1">
        <v>45866</v>
      </c>
      <c r="D378" t="s">
        <v>265</v>
      </c>
      <c r="E378" t="s">
        <v>29</v>
      </c>
      <c r="F378" t="s">
        <v>20</v>
      </c>
      <c r="G378" t="s">
        <v>21</v>
      </c>
      <c r="H378" t="s">
        <v>32</v>
      </c>
      <c r="I378" t="s">
        <v>109</v>
      </c>
      <c r="J378" t="s">
        <v>192</v>
      </c>
      <c r="K378">
        <v>1</v>
      </c>
      <c r="L378">
        <v>530</v>
      </c>
      <c r="M378">
        <v>0.15</v>
      </c>
      <c r="N378">
        <v>450.5</v>
      </c>
      <c r="O378">
        <v>88.75</v>
      </c>
      <c r="P378" t="s">
        <v>25</v>
      </c>
      <c r="Q378" t="s">
        <v>26</v>
      </c>
    </row>
    <row r="379" spans="1:17" x14ac:dyDescent="0.35">
      <c r="A379" t="s">
        <v>561</v>
      </c>
      <c r="B379" s="1">
        <v>45866</v>
      </c>
      <c r="C379" s="1">
        <v>45870</v>
      </c>
      <c r="D379" t="s">
        <v>267</v>
      </c>
      <c r="E379" t="s">
        <v>39</v>
      </c>
      <c r="F379" t="s">
        <v>30</v>
      </c>
      <c r="G379" t="s">
        <v>31</v>
      </c>
      <c r="H379" t="s">
        <v>42</v>
      </c>
      <c r="I379" t="s">
        <v>113</v>
      </c>
      <c r="J379" t="s">
        <v>195</v>
      </c>
      <c r="K379">
        <v>4</v>
      </c>
      <c r="L379">
        <v>577</v>
      </c>
      <c r="M379">
        <v>0.2</v>
      </c>
      <c r="N379">
        <v>1846.4</v>
      </c>
      <c r="O379">
        <v>232.65</v>
      </c>
      <c r="P379" t="s">
        <v>35</v>
      </c>
      <c r="Q379" t="s">
        <v>36</v>
      </c>
    </row>
    <row r="380" spans="1:17" x14ac:dyDescent="0.35">
      <c r="A380" t="s">
        <v>562</v>
      </c>
      <c r="B380" s="1">
        <v>45868</v>
      </c>
      <c r="C380" s="1">
        <v>45875</v>
      </c>
      <c r="D380" t="s">
        <v>269</v>
      </c>
      <c r="E380" t="s">
        <v>19</v>
      </c>
      <c r="F380" t="s">
        <v>40</v>
      </c>
      <c r="G380" t="s">
        <v>41</v>
      </c>
      <c r="H380" t="s">
        <v>22</v>
      </c>
      <c r="I380" t="s">
        <v>23</v>
      </c>
      <c r="J380" t="s">
        <v>65</v>
      </c>
      <c r="K380">
        <v>7</v>
      </c>
      <c r="L380">
        <v>624</v>
      </c>
      <c r="M380">
        <v>0</v>
      </c>
      <c r="N380">
        <v>4368</v>
      </c>
      <c r="O380">
        <v>786.24</v>
      </c>
      <c r="P380" t="s">
        <v>45</v>
      </c>
      <c r="Q380" t="s">
        <v>46</v>
      </c>
    </row>
    <row r="381" spans="1:17" x14ac:dyDescent="0.35">
      <c r="A381" t="s">
        <v>563</v>
      </c>
      <c r="B381" s="1">
        <v>45870</v>
      </c>
      <c r="C381" s="1">
        <v>45872</v>
      </c>
      <c r="D381" t="s">
        <v>271</v>
      </c>
      <c r="E381" t="s">
        <v>29</v>
      </c>
      <c r="F381" t="s">
        <v>49</v>
      </c>
      <c r="G381" t="s">
        <v>50</v>
      </c>
      <c r="H381" t="s">
        <v>32</v>
      </c>
      <c r="I381" t="s">
        <v>33</v>
      </c>
      <c r="J381" t="s">
        <v>69</v>
      </c>
      <c r="K381">
        <v>2</v>
      </c>
      <c r="L381">
        <v>671</v>
      </c>
      <c r="M381">
        <v>0</v>
      </c>
      <c r="N381">
        <v>1342</v>
      </c>
      <c r="O381">
        <v>389.18</v>
      </c>
      <c r="P381" t="s">
        <v>52</v>
      </c>
      <c r="Q381" t="s">
        <v>53</v>
      </c>
    </row>
    <row r="382" spans="1:17" x14ac:dyDescent="0.35">
      <c r="A382" t="s">
        <v>564</v>
      </c>
      <c r="B382" s="1">
        <v>45871</v>
      </c>
      <c r="C382" s="1">
        <v>45876</v>
      </c>
      <c r="D382" t="s">
        <v>273</v>
      </c>
      <c r="E382" t="s">
        <v>39</v>
      </c>
      <c r="F382" t="s">
        <v>20</v>
      </c>
      <c r="G382" t="s">
        <v>56</v>
      </c>
      <c r="H382" t="s">
        <v>42</v>
      </c>
      <c r="I382" t="s">
        <v>43</v>
      </c>
      <c r="J382" t="s">
        <v>72</v>
      </c>
      <c r="K382">
        <v>5</v>
      </c>
      <c r="L382">
        <v>718</v>
      </c>
      <c r="M382">
        <v>0.05</v>
      </c>
      <c r="N382">
        <v>3410.5</v>
      </c>
      <c r="O382">
        <v>-208.04</v>
      </c>
      <c r="P382" t="s">
        <v>25</v>
      </c>
      <c r="Q382" t="s">
        <v>26</v>
      </c>
    </row>
    <row r="383" spans="1:17" x14ac:dyDescent="0.35">
      <c r="A383" t="s">
        <v>565</v>
      </c>
      <c r="B383" s="1">
        <v>45873</v>
      </c>
      <c r="C383" s="1">
        <v>45881</v>
      </c>
      <c r="D383" t="s">
        <v>275</v>
      </c>
      <c r="E383" t="s">
        <v>19</v>
      </c>
      <c r="F383" t="s">
        <v>30</v>
      </c>
      <c r="G383" t="s">
        <v>60</v>
      </c>
      <c r="H383" t="s">
        <v>22</v>
      </c>
      <c r="I383" t="s">
        <v>23</v>
      </c>
      <c r="J383" t="s">
        <v>147</v>
      </c>
      <c r="K383">
        <v>8</v>
      </c>
      <c r="L383">
        <v>765</v>
      </c>
      <c r="M383">
        <v>0.1</v>
      </c>
      <c r="N383">
        <v>5508</v>
      </c>
      <c r="O383">
        <v>649.94000000000005</v>
      </c>
      <c r="P383" t="s">
        <v>35</v>
      </c>
      <c r="Q383" t="s">
        <v>36</v>
      </c>
    </row>
    <row r="384" spans="1:17" x14ac:dyDescent="0.35">
      <c r="A384" t="s">
        <v>566</v>
      </c>
      <c r="B384" s="1">
        <v>45874</v>
      </c>
      <c r="C384" s="1">
        <v>45877</v>
      </c>
      <c r="D384" t="s">
        <v>277</v>
      </c>
      <c r="E384" t="s">
        <v>29</v>
      </c>
      <c r="F384" t="s">
        <v>40</v>
      </c>
      <c r="G384" t="s">
        <v>64</v>
      </c>
      <c r="H384" t="s">
        <v>32</v>
      </c>
      <c r="I384" t="s">
        <v>33</v>
      </c>
      <c r="J384" t="s">
        <v>150</v>
      </c>
      <c r="K384">
        <v>3</v>
      </c>
      <c r="L384">
        <v>32</v>
      </c>
      <c r="M384">
        <v>0.15</v>
      </c>
      <c r="N384">
        <v>81.599999999999994</v>
      </c>
      <c r="O384">
        <v>16.079999999999998</v>
      </c>
      <c r="P384" t="s">
        <v>45</v>
      </c>
      <c r="Q384" t="s">
        <v>46</v>
      </c>
    </row>
    <row r="385" spans="1:17" x14ac:dyDescent="0.35">
      <c r="A385" t="s">
        <v>567</v>
      </c>
      <c r="B385" s="1">
        <v>45876</v>
      </c>
      <c r="C385" s="1">
        <v>45882</v>
      </c>
      <c r="D385" t="s">
        <v>279</v>
      </c>
      <c r="E385" t="s">
        <v>39</v>
      </c>
      <c r="F385" t="s">
        <v>49</v>
      </c>
      <c r="G385" t="s">
        <v>68</v>
      </c>
      <c r="H385" t="s">
        <v>42</v>
      </c>
      <c r="I385" t="s">
        <v>43</v>
      </c>
      <c r="J385" t="s">
        <v>153</v>
      </c>
      <c r="K385">
        <v>6</v>
      </c>
      <c r="L385">
        <v>79</v>
      </c>
      <c r="M385">
        <v>0.2</v>
      </c>
      <c r="N385">
        <v>379.2</v>
      </c>
      <c r="O385">
        <v>47.78</v>
      </c>
      <c r="P385" t="s">
        <v>52</v>
      </c>
      <c r="Q385" t="s">
        <v>53</v>
      </c>
    </row>
    <row r="386" spans="1:17" x14ac:dyDescent="0.35">
      <c r="A386" t="s">
        <v>568</v>
      </c>
      <c r="B386" s="1">
        <v>45877</v>
      </c>
      <c r="C386" s="1">
        <v>45878</v>
      </c>
      <c r="D386" t="s">
        <v>18</v>
      </c>
      <c r="E386" t="s">
        <v>19</v>
      </c>
      <c r="F386" t="s">
        <v>20</v>
      </c>
      <c r="G386" t="s">
        <v>21</v>
      </c>
      <c r="H386" t="s">
        <v>22</v>
      </c>
      <c r="I386" t="s">
        <v>23</v>
      </c>
      <c r="J386" t="s">
        <v>24</v>
      </c>
      <c r="K386">
        <v>1</v>
      </c>
      <c r="L386">
        <v>126</v>
      </c>
      <c r="M386">
        <v>0</v>
      </c>
      <c r="N386">
        <v>126</v>
      </c>
      <c r="O386">
        <v>22.68</v>
      </c>
      <c r="P386" t="s">
        <v>25</v>
      </c>
      <c r="Q386" t="s">
        <v>26</v>
      </c>
    </row>
    <row r="387" spans="1:17" x14ac:dyDescent="0.35">
      <c r="A387" t="s">
        <v>569</v>
      </c>
      <c r="B387" s="1">
        <v>45879</v>
      </c>
      <c r="C387" s="1">
        <v>45883</v>
      </c>
      <c r="D387" t="s">
        <v>28</v>
      </c>
      <c r="E387" t="s">
        <v>29</v>
      </c>
      <c r="F387" t="s">
        <v>30</v>
      </c>
      <c r="G387" t="s">
        <v>31</v>
      </c>
      <c r="H387" t="s">
        <v>32</v>
      </c>
      <c r="I387" t="s">
        <v>33</v>
      </c>
      <c r="J387" t="s">
        <v>34</v>
      </c>
      <c r="K387">
        <v>4</v>
      </c>
      <c r="L387">
        <v>173</v>
      </c>
      <c r="M387">
        <v>0</v>
      </c>
      <c r="N387">
        <v>692</v>
      </c>
      <c r="O387">
        <v>200.68</v>
      </c>
      <c r="P387" t="s">
        <v>35</v>
      </c>
      <c r="Q387" t="s">
        <v>36</v>
      </c>
    </row>
    <row r="388" spans="1:17" x14ac:dyDescent="0.35">
      <c r="A388" t="s">
        <v>570</v>
      </c>
      <c r="B388" s="1">
        <v>45880</v>
      </c>
      <c r="C388" s="1">
        <v>45887</v>
      </c>
      <c r="D388" t="s">
        <v>38</v>
      </c>
      <c r="E388" t="s">
        <v>39</v>
      </c>
      <c r="F388" t="s">
        <v>40</v>
      </c>
      <c r="G388" t="s">
        <v>41</v>
      </c>
      <c r="H388" t="s">
        <v>42</v>
      </c>
      <c r="I388" t="s">
        <v>43</v>
      </c>
      <c r="J388" t="s">
        <v>44</v>
      </c>
      <c r="K388">
        <v>7</v>
      </c>
      <c r="L388">
        <v>220</v>
      </c>
      <c r="M388">
        <v>0.05</v>
      </c>
      <c r="N388">
        <v>1463</v>
      </c>
      <c r="O388">
        <v>320.39999999999998</v>
      </c>
      <c r="P388" t="s">
        <v>45</v>
      </c>
      <c r="Q388" t="s">
        <v>46</v>
      </c>
    </row>
    <row r="389" spans="1:17" x14ac:dyDescent="0.35">
      <c r="A389" t="s">
        <v>571</v>
      </c>
      <c r="B389" s="1">
        <v>45882</v>
      </c>
      <c r="C389" s="1">
        <v>45884</v>
      </c>
      <c r="D389" t="s">
        <v>48</v>
      </c>
      <c r="E389" t="s">
        <v>19</v>
      </c>
      <c r="F389" t="s">
        <v>49</v>
      </c>
      <c r="G389" t="s">
        <v>50</v>
      </c>
      <c r="H389" t="s">
        <v>22</v>
      </c>
      <c r="I389" t="s">
        <v>75</v>
      </c>
      <c r="J389" t="s">
        <v>96</v>
      </c>
      <c r="K389">
        <v>2</v>
      </c>
      <c r="L389">
        <v>267</v>
      </c>
      <c r="M389">
        <v>0.1</v>
      </c>
      <c r="N389">
        <v>480.6</v>
      </c>
      <c r="O389">
        <v>56.71</v>
      </c>
      <c r="P389" t="s">
        <v>52</v>
      </c>
      <c r="Q389" t="s">
        <v>53</v>
      </c>
    </row>
    <row r="390" spans="1:17" x14ac:dyDescent="0.35">
      <c r="A390" t="s">
        <v>572</v>
      </c>
      <c r="B390" s="1">
        <v>45883</v>
      </c>
      <c r="C390" s="1">
        <v>45888</v>
      </c>
      <c r="D390" t="s">
        <v>55</v>
      </c>
      <c r="E390" t="s">
        <v>29</v>
      </c>
      <c r="F390" t="s">
        <v>20</v>
      </c>
      <c r="G390" t="s">
        <v>56</v>
      </c>
      <c r="H390" t="s">
        <v>32</v>
      </c>
      <c r="I390" t="s">
        <v>79</v>
      </c>
      <c r="J390" t="s">
        <v>99</v>
      </c>
      <c r="K390">
        <v>5</v>
      </c>
      <c r="L390">
        <v>314</v>
      </c>
      <c r="M390">
        <v>0.15</v>
      </c>
      <c r="N390">
        <v>1334.5</v>
      </c>
      <c r="O390">
        <v>262.89999999999998</v>
      </c>
      <c r="P390" t="s">
        <v>25</v>
      </c>
      <c r="Q390" t="s">
        <v>26</v>
      </c>
    </row>
    <row r="391" spans="1:17" x14ac:dyDescent="0.35">
      <c r="A391" t="s">
        <v>573</v>
      </c>
      <c r="B391" s="1">
        <v>45885</v>
      </c>
      <c r="C391" s="1">
        <v>45893</v>
      </c>
      <c r="D391" t="s">
        <v>59</v>
      </c>
      <c r="E391" t="s">
        <v>39</v>
      </c>
      <c r="F391" t="s">
        <v>30</v>
      </c>
      <c r="G391" t="s">
        <v>60</v>
      </c>
      <c r="H391" t="s">
        <v>42</v>
      </c>
      <c r="I391" t="s">
        <v>83</v>
      </c>
      <c r="J391" t="s">
        <v>102</v>
      </c>
      <c r="K391">
        <v>8</v>
      </c>
      <c r="L391">
        <v>361</v>
      </c>
      <c r="M391">
        <v>0.2</v>
      </c>
      <c r="N391">
        <v>2310.4</v>
      </c>
      <c r="O391">
        <v>291.11</v>
      </c>
      <c r="P391" t="s">
        <v>35</v>
      </c>
      <c r="Q391" t="s">
        <v>36</v>
      </c>
    </row>
    <row r="392" spans="1:17" x14ac:dyDescent="0.35">
      <c r="A392" t="s">
        <v>574</v>
      </c>
      <c r="B392" s="1">
        <v>45886</v>
      </c>
      <c r="C392" s="1">
        <v>45889</v>
      </c>
      <c r="D392" t="s">
        <v>63</v>
      </c>
      <c r="E392" t="s">
        <v>19</v>
      </c>
      <c r="F392" t="s">
        <v>40</v>
      </c>
      <c r="G392" t="s">
        <v>64</v>
      </c>
      <c r="H392" t="s">
        <v>22</v>
      </c>
      <c r="I392" t="s">
        <v>75</v>
      </c>
      <c r="J392" t="s">
        <v>168</v>
      </c>
      <c r="K392">
        <v>3</v>
      </c>
      <c r="L392">
        <v>408</v>
      </c>
      <c r="M392">
        <v>0</v>
      </c>
      <c r="N392">
        <v>1224</v>
      </c>
      <c r="O392">
        <v>220.32</v>
      </c>
      <c r="P392" t="s">
        <v>45</v>
      </c>
      <c r="Q392" t="s">
        <v>46</v>
      </c>
    </row>
    <row r="393" spans="1:17" x14ac:dyDescent="0.35">
      <c r="A393" t="s">
        <v>575</v>
      </c>
      <c r="B393" s="1">
        <v>45888</v>
      </c>
      <c r="C393" s="1">
        <v>45894</v>
      </c>
      <c r="D393" t="s">
        <v>67</v>
      </c>
      <c r="E393" t="s">
        <v>29</v>
      </c>
      <c r="F393" t="s">
        <v>49</v>
      </c>
      <c r="G393" t="s">
        <v>68</v>
      </c>
      <c r="H393" t="s">
        <v>32</v>
      </c>
      <c r="I393" t="s">
        <v>79</v>
      </c>
      <c r="J393" t="s">
        <v>171</v>
      </c>
      <c r="K393">
        <v>6</v>
      </c>
      <c r="L393">
        <v>455</v>
      </c>
      <c r="M393">
        <v>0</v>
      </c>
      <c r="N393">
        <v>2730</v>
      </c>
      <c r="O393">
        <v>791.7</v>
      </c>
      <c r="P393" t="s">
        <v>52</v>
      </c>
      <c r="Q393" t="s">
        <v>53</v>
      </c>
    </row>
    <row r="394" spans="1:17" x14ac:dyDescent="0.35">
      <c r="A394" t="s">
        <v>576</v>
      </c>
      <c r="B394" s="1">
        <v>45889</v>
      </c>
      <c r="C394" s="1">
        <v>45890</v>
      </c>
      <c r="D394" t="s">
        <v>71</v>
      </c>
      <c r="E394" t="s">
        <v>39</v>
      </c>
      <c r="F394" t="s">
        <v>20</v>
      </c>
      <c r="G394" t="s">
        <v>21</v>
      </c>
      <c r="H394" t="s">
        <v>42</v>
      </c>
      <c r="I394" t="s">
        <v>83</v>
      </c>
      <c r="J394" t="s">
        <v>174</v>
      </c>
      <c r="K394">
        <v>1</v>
      </c>
      <c r="L394">
        <v>502</v>
      </c>
      <c r="M394">
        <v>0.05</v>
      </c>
      <c r="N394">
        <v>476.9</v>
      </c>
      <c r="O394">
        <v>104.44</v>
      </c>
      <c r="P394" t="s">
        <v>25</v>
      </c>
      <c r="Q394" t="s">
        <v>26</v>
      </c>
    </row>
    <row r="395" spans="1:17" x14ac:dyDescent="0.35">
      <c r="A395" t="s">
        <v>577</v>
      </c>
      <c r="B395" s="1">
        <v>45891</v>
      </c>
      <c r="C395" s="1">
        <v>45895</v>
      </c>
      <c r="D395" t="s">
        <v>74</v>
      </c>
      <c r="E395" t="s">
        <v>19</v>
      </c>
      <c r="F395" t="s">
        <v>30</v>
      </c>
      <c r="G395" t="s">
        <v>31</v>
      </c>
      <c r="H395" t="s">
        <v>22</v>
      </c>
      <c r="I395" t="s">
        <v>75</v>
      </c>
      <c r="J395" t="s">
        <v>76</v>
      </c>
      <c r="K395">
        <v>4</v>
      </c>
      <c r="L395">
        <v>549</v>
      </c>
      <c r="M395">
        <v>0.1</v>
      </c>
      <c r="N395">
        <v>1976.4</v>
      </c>
      <c r="O395">
        <v>233.22</v>
      </c>
      <c r="P395" t="s">
        <v>35</v>
      </c>
      <c r="Q395" t="s">
        <v>36</v>
      </c>
    </row>
    <row r="396" spans="1:17" x14ac:dyDescent="0.35">
      <c r="A396" t="s">
        <v>578</v>
      </c>
      <c r="B396" s="1">
        <v>45892</v>
      </c>
      <c r="C396" s="1">
        <v>45899</v>
      </c>
      <c r="D396" t="s">
        <v>78</v>
      </c>
      <c r="E396" t="s">
        <v>29</v>
      </c>
      <c r="F396" t="s">
        <v>40</v>
      </c>
      <c r="G396" t="s">
        <v>41</v>
      </c>
      <c r="H396" t="s">
        <v>32</v>
      </c>
      <c r="I396" t="s">
        <v>79</v>
      </c>
      <c r="J396" t="s">
        <v>80</v>
      </c>
      <c r="K396">
        <v>7</v>
      </c>
      <c r="L396">
        <v>596</v>
      </c>
      <c r="M396">
        <v>0.15</v>
      </c>
      <c r="N396">
        <v>3546.2</v>
      </c>
      <c r="O396">
        <v>698.6</v>
      </c>
      <c r="P396" t="s">
        <v>45</v>
      </c>
      <c r="Q396" t="s">
        <v>46</v>
      </c>
    </row>
    <row r="397" spans="1:17" x14ac:dyDescent="0.35">
      <c r="A397" t="s">
        <v>579</v>
      </c>
      <c r="B397" s="1">
        <v>45894</v>
      </c>
      <c r="C397" s="1">
        <v>45896</v>
      </c>
      <c r="D397" t="s">
        <v>82</v>
      </c>
      <c r="E397" t="s">
        <v>39</v>
      </c>
      <c r="F397" t="s">
        <v>49</v>
      </c>
      <c r="G397" t="s">
        <v>50</v>
      </c>
      <c r="H397" t="s">
        <v>42</v>
      </c>
      <c r="I397" t="s">
        <v>83</v>
      </c>
      <c r="J397" t="s">
        <v>84</v>
      </c>
      <c r="K397">
        <v>2</v>
      </c>
      <c r="L397">
        <v>643</v>
      </c>
      <c r="M397">
        <v>0.2</v>
      </c>
      <c r="N397">
        <v>1028.8</v>
      </c>
      <c r="O397">
        <v>129.63</v>
      </c>
      <c r="P397" t="s">
        <v>52</v>
      </c>
      <c r="Q397" t="s">
        <v>53</v>
      </c>
    </row>
    <row r="398" spans="1:17" x14ac:dyDescent="0.35">
      <c r="A398" t="s">
        <v>580</v>
      </c>
      <c r="B398" s="1">
        <v>45895</v>
      </c>
      <c r="C398" s="1">
        <v>45900</v>
      </c>
      <c r="D398" t="s">
        <v>86</v>
      </c>
      <c r="E398" t="s">
        <v>19</v>
      </c>
      <c r="F398" t="s">
        <v>20</v>
      </c>
      <c r="G398" t="s">
        <v>56</v>
      </c>
      <c r="H398" t="s">
        <v>22</v>
      </c>
      <c r="I398" t="s">
        <v>105</v>
      </c>
      <c r="J398" t="s">
        <v>126</v>
      </c>
      <c r="K398">
        <v>5</v>
      </c>
      <c r="L398">
        <v>690</v>
      </c>
      <c r="M398">
        <v>0</v>
      </c>
      <c r="N398">
        <v>3450</v>
      </c>
      <c r="O398">
        <v>621</v>
      </c>
      <c r="P398" t="s">
        <v>25</v>
      </c>
      <c r="Q398" t="s">
        <v>26</v>
      </c>
    </row>
    <row r="399" spans="1:17" x14ac:dyDescent="0.35">
      <c r="A399" t="s">
        <v>581</v>
      </c>
      <c r="B399" s="1">
        <v>45897</v>
      </c>
      <c r="C399" s="1">
        <v>45905</v>
      </c>
      <c r="D399" t="s">
        <v>89</v>
      </c>
      <c r="E399" t="s">
        <v>29</v>
      </c>
      <c r="F399" t="s">
        <v>30</v>
      </c>
      <c r="G399" t="s">
        <v>60</v>
      </c>
      <c r="H399" t="s">
        <v>32</v>
      </c>
      <c r="I399" t="s">
        <v>109</v>
      </c>
      <c r="J399" t="s">
        <v>129</v>
      </c>
      <c r="K399">
        <v>8</v>
      </c>
      <c r="L399">
        <v>737</v>
      </c>
      <c r="M399">
        <v>0</v>
      </c>
      <c r="N399">
        <v>5896</v>
      </c>
      <c r="O399">
        <v>1709.84</v>
      </c>
      <c r="P399" t="s">
        <v>35</v>
      </c>
      <c r="Q399" t="s">
        <v>36</v>
      </c>
    </row>
    <row r="400" spans="1:17" x14ac:dyDescent="0.35">
      <c r="A400" t="s">
        <v>582</v>
      </c>
      <c r="B400" s="1">
        <v>45898</v>
      </c>
      <c r="C400" s="1">
        <v>45901</v>
      </c>
      <c r="D400" t="s">
        <v>92</v>
      </c>
      <c r="E400" t="s">
        <v>39</v>
      </c>
      <c r="F400" t="s">
        <v>40</v>
      </c>
      <c r="G400" t="s">
        <v>64</v>
      </c>
      <c r="H400" t="s">
        <v>42</v>
      </c>
      <c r="I400" t="s">
        <v>113</v>
      </c>
      <c r="J400" t="s">
        <v>132</v>
      </c>
      <c r="K400">
        <v>3</v>
      </c>
      <c r="L400">
        <v>784</v>
      </c>
      <c r="M400">
        <v>0.05</v>
      </c>
      <c r="N400">
        <v>2234.4</v>
      </c>
      <c r="O400">
        <v>489.33</v>
      </c>
      <c r="P400" t="s">
        <v>45</v>
      </c>
      <c r="Q400" t="s">
        <v>46</v>
      </c>
    </row>
    <row r="401" spans="1:17" x14ac:dyDescent="0.35">
      <c r="A401" t="s">
        <v>583</v>
      </c>
      <c r="B401" s="1">
        <v>45900</v>
      </c>
      <c r="C401" s="1">
        <v>45906</v>
      </c>
      <c r="D401" t="s">
        <v>95</v>
      </c>
      <c r="E401" t="s">
        <v>19</v>
      </c>
      <c r="F401" t="s">
        <v>49</v>
      </c>
      <c r="G401" t="s">
        <v>68</v>
      </c>
      <c r="H401" t="s">
        <v>22</v>
      </c>
      <c r="I401" t="s">
        <v>105</v>
      </c>
      <c r="J401" t="s">
        <v>189</v>
      </c>
      <c r="K401">
        <v>6</v>
      </c>
      <c r="L401">
        <v>51</v>
      </c>
      <c r="M401">
        <v>0.1</v>
      </c>
      <c r="N401">
        <v>275.39999999999998</v>
      </c>
      <c r="O401">
        <v>-44.61</v>
      </c>
      <c r="P401" t="s">
        <v>52</v>
      </c>
      <c r="Q401" t="s">
        <v>53</v>
      </c>
    </row>
    <row r="402" spans="1:17" x14ac:dyDescent="0.35">
      <c r="A402" t="s">
        <v>584</v>
      </c>
      <c r="B402" s="1">
        <v>45901</v>
      </c>
      <c r="C402" s="1">
        <v>45902</v>
      </c>
      <c r="D402" t="s">
        <v>98</v>
      </c>
      <c r="E402" t="s">
        <v>29</v>
      </c>
      <c r="F402" t="s">
        <v>20</v>
      </c>
      <c r="G402" t="s">
        <v>21</v>
      </c>
      <c r="H402" t="s">
        <v>32</v>
      </c>
      <c r="I402" t="s">
        <v>109</v>
      </c>
      <c r="J402" t="s">
        <v>192</v>
      </c>
      <c r="K402">
        <v>1</v>
      </c>
      <c r="L402">
        <v>98</v>
      </c>
      <c r="M402">
        <v>0.15</v>
      </c>
      <c r="N402">
        <v>83.3</v>
      </c>
      <c r="O402">
        <v>16.41</v>
      </c>
      <c r="P402" t="s">
        <v>25</v>
      </c>
      <c r="Q402" t="s">
        <v>26</v>
      </c>
    </row>
    <row r="403" spans="1:17" x14ac:dyDescent="0.35">
      <c r="A403" t="s">
        <v>585</v>
      </c>
      <c r="B403" s="1">
        <v>45903</v>
      </c>
      <c r="C403" s="1">
        <v>45907</v>
      </c>
      <c r="D403" t="s">
        <v>101</v>
      </c>
      <c r="E403" t="s">
        <v>39</v>
      </c>
      <c r="F403" t="s">
        <v>30</v>
      </c>
      <c r="G403" t="s">
        <v>31</v>
      </c>
      <c r="H403" t="s">
        <v>42</v>
      </c>
      <c r="I403" t="s">
        <v>113</v>
      </c>
      <c r="J403" t="s">
        <v>195</v>
      </c>
      <c r="K403">
        <v>4</v>
      </c>
      <c r="L403">
        <v>145</v>
      </c>
      <c r="M403">
        <v>0.2</v>
      </c>
      <c r="N403">
        <v>464</v>
      </c>
      <c r="O403">
        <v>58.46</v>
      </c>
      <c r="P403" t="s">
        <v>35</v>
      </c>
      <c r="Q403" t="s">
        <v>36</v>
      </c>
    </row>
    <row r="404" spans="1:17" x14ac:dyDescent="0.35">
      <c r="A404" t="s">
        <v>586</v>
      </c>
      <c r="B404" s="1">
        <v>45904</v>
      </c>
      <c r="C404" s="1">
        <v>45911</v>
      </c>
      <c r="D404" t="s">
        <v>104</v>
      </c>
      <c r="E404" t="s">
        <v>19</v>
      </c>
      <c r="F404" t="s">
        <v>40</v>
      </c>
      <c r="G404" t="s">
        <v>41</v>
      </c>
      <c r="H404" t="s">
        <v>22</v>
      </c>
      <c r="I404" t="s">
        <v>105</v>
      </c>
      <c r="J404" t="s">
        <v>106</v>
      </c>
      <c r="K404">
        <v>7</v>
      </c>
      <c r="L404">
        <v>192</v>
      </c>
      <c r="M404">
        <v>0</v>
      </c>
      <c r="N404">
        <v>1344</v>
      </c>
      <c r="O404">
        <v>241.92</v>
      </c>
      <c r="P404" t="s">
        <v>45</v>
      </c>
      <c r="Q404" t="s">
        <v>46</v>
      </c>
    </row>
    <row r="405" spans="1:17" x14ac:dyDescent="0.35">
      <c r="A405" t="s">
        <v>587</v>
      </c>
      <c r="B405" s="1">
        <v>45906</v>
      </c>
      <c r="C405" s="1">
        <v>45908</v>
      </c>
      <c r="D405" t="s">
        <v>108</v>
      </c>
      <c r="E405" t="s">
        <v>29</v>
      </c>
      <c r="F405" t="s">
        <v>49</v>
      </c>
      <c r="G405" t="s">
        <v>50</v>
      </c>
      <c r="H405" t="s">
        <v>32</v>
      </c>
      <c r="I405" t="s">
        <v>109</v>
      </c>
      <c r="J405" t="s">
        <v>110</v>
      </c>
      <c r="K405">
        <v>2</v>
      </c>
      <c r="L405">
        <v>239</v>
      </c>
      <c r="M405">
        <v>0</v>
      </c>
      <c r="N405">
        <v>478</v>
      </c>
      <c r="O405">
        <v>138.62</v>
      </c>
      <c r="P405" t="s">
        <v>52</v>
      </c>
      <c r="Q405" t="s">
        <v>53</v>
      </c>
    </row>
    <row r="406" spans="1:17" x14ac:dyDescent="0.35">
      <c r="A406" t="s">
        <v>588</v>
      </c>
      <c r="B406" s="1">
        <v>45908</v>
      </c>
      <c r="C406" s="1">
        <v>45913</v>
      </c>
      <c r="D406" t="s">
        <v>112</v>
      </c>
      <c r="E406" t="s">
        <v>39</v>
      </c>
      <c r="F406" t="s">
        <v>20</v>
      </c>
      <c r="G406" t="s">
        <v>56</v>
      </c>
      <c r="H406" t="s">
        <v>42</v>
      </c>
      <c r="I406" t="s">
        <v>113</v>
      </c>
      <c r="J406" t="s">
        <v>114</v>
      </c>
      <c r="K406">
        <v>5</v>
      </c>
      <c r="L406">
        <v>286</v>
      </c>
      <c r="M406">
        <v>0.05</v>
      </c>
      <c r="N406">
        <v>1358.5</v>
      </c>
      <c r="O406">
        <v>297.51</v>
      </c>
      <c r="P406" t="s">
        <v>25</v>
      </c>
      <c r="Q406" t="s">
        <v>26</v>
      </c>
    </row>
    <row r="407" spans="1:17" x14ac:dyDescent="0.35">
      <c r="A407" t="s">
        <v>589</v>
      </c>
      <c r="B407" s="1">
        <v>45909</v>
      </c>
      <c r="C407" s="1">
        <v>45917</v>
      </c>
      <c r="D407" t="s">
        <v>116</v>
      </c>
      <c r="E407" t="s">
        <v>19</v>
      </c>
      <c r="F407" t="s">
        <v>30</v>
      </c>
      <c r="G407" t="s">
        <v>60</v>
      </c>
      <c r="H407" t="s">
        <v>22</v>
      </c>
      <c r="I407" t="s">
        <v>23</v>
      </c>
      <c r="J407" t="s">
        <v>147</v>
      </c>
      <c r="K407">
        <v>8</v>
      </c>
      <c r="L407">
        <v>333</v>
      </c>
      <c r="M407">
        <v>0.1</v>
      </c>
      <c r="N407">
        <v>2397.6</v>
      </c>
      <c r="O407">
        <v>282.92</v>
      </c>
      <c r="P407" t="s">
        <v>35</v>
      </c>
      <c r="Q407" t="s">
        <v>36</v>
      </c>
    </row>
    <row r="408" spans="1:17" x14ac:dyDescent="0.35">
      <c r="A408" t="s">
        <v>590</v>
      </c>
      <c r="B408" s="1">
        <v>45911</v>
      </c>
      <c r="C408" s="1">
        <v>45914</v>
      </c>
      <c r="D408" t="s">
        <v>119</v>
      </c>
      <c r="E408" t="s">
        <v>29</v>
      </c>
      <c r="F408" t="s">
        <v>40</v>
      </c>
      <c r="G408" t="s">
        <v>64</v>
      </c>
      <c r="H408" t="s">
        <v>32</v>
      </c>
      <c r="I408" t="s">
        <v>33</v>
      </c>
      <c r="J408" t="s">
        <v>150</v>
      </c>
      <c r="K408">
        <v>3</v>
      </c>
      <c r="L408">
        <v>380</v>
      </c>
      <c r="M408">
        <v>0.15</v>
      </c>
      <c r="N408">
        <v>969</v>
      </c>
      <c r="O408">
        <v>190.89</v>
      </c>
      <c r="P408" t="s">
        <v>45</v>
      </c>
      <c r="Q408" t="s">
        <v>46</v>
      </c>
    </row>
    <row r="409" spans="1:17" x14ac:dyDescent="0.35">
      <c r="A409" t="s">
        <v>591</v>
      </c>
      <c r="B409" s="1">
        <v>45912</v>
      </c>
      <c r="C409" s="1">
        <v>45918</v>
      </c>
      <c r="D409" t="s">
        <v>122</v>
      </c>
      <c r="E409" t="s">
        <v>39</v>
      </c>
      <c r="F409" t="s">
        <v>49</v>
      </c>
      <c r="G409" t="s">
        <v>68</v>
      </c>
      <c r="H409" t="s">
        <v>42</v>
      </c>
      <c r="I409" t="s">
        <v>43</v>
      </c>
      <c r="J409" t="s">
        <v>153</v>
      </c>
      <c r="K409">
        <v>6</v>
      </c>
      <c r="L409">
        <v>427</v>
      </c>
      <c r="M409">
        <v>0.2</v>
      </c>
      <c r="N409">
        <v>2049.6</v>
      </c>
      <c r="O409">
        <v>258.25</v>
      </c>
      <c r="P409" t="s">
        <v>52</v>
      </c>
      <c r="Q409" t="s">
        <v>53</v>
      </c>
    </row>
    <row r="410" spans="1:17" x14ac:dyDescent="0.35">
      <c r="A410" t="s">
        <v>592</v>
      </c>
      <c r="B410" s="1">
        <v>45914</v>
      </c>
      <c r="C410" s="1">
        <v>45915</v>
      </c>
      <c r="D410" t="s">
        <v>125</v>
      </c>
      <c r="E410" t="s">
        <v>19</v>
      </c>
      <c r="F410" t="s">
        <v>20</v>
      </c>
      <c r="G410" t="s">
        <v>21</v>
      </c>
      <c r="H410" t="s">
        <v>22</v>
      </c>
      <c r="I410" t="s">
        <v>23</v>
      </c>
      <c r="J410" t="s">
        <v>24</v>
      </c>
      <c r="K410">
        <v>1</v>
      </c>
      <c r="L410">
        <v>474</v>
      </c>
      <c r="M410">
        <v>0</v>
      </c>
      <c r="N410">
        <v>474</v>
      </c>
      <c r="O410">
        <v>85.32</v>
      </c>
      <c r="P410" t="s">
        <v>25</v>
      </c>
      <c r="Q410" t="s">
        <v>26</v>
      </c>
    </row>
    <row r="411" spans="1:17" x14ac:dyDescent="0.35">
      <c r="A411" t="s">
        <v>593</v>
      </c>
      <c r="B411" s="1">
        <v>45915</v>
      </c>
      <c r="C411" s="1">
        <v>45919</v>
      </c>
      <c r="D411" t="s">
        <v>128</v>
      </c>
      <c r="E411" t="s">
        <v>29</v>
      </c>
      <c r="F411" t="s">
        <v>30</v>
      </c>
      <c r="G411" t="s">
        <v>31</v>
      </c>
      <c r="H411" t="s">
        <v>32</v>
      </c>
      <c r="I411" t="s">
        <v>33</v>
      </c>
      <c r="J411" t="s">
        <v>34</v>
      </c>
      <c r="K411">
        <v>4</v>
      </c>
      <c r="L411">
        <v>521</v>
      </c>
      <c r="M411">
        <v>0</v>
      </c>
      <c r="N411">
        <v>2084</v>
      </c>
      <c r="O411">
        <v>604.36</v>
      </c>
      <c r="P411" t="s">
        <v>35</v>
      </c>
      <c r="Q411" t="s">
        <v>36</v>
      </c>
    </row>
    <row r="412" spans="1:17" x14ac:dyDescent="0.35">
      <c r="A412" t="s">
        <v>594</v>
      </c>
      <c r="B412" s="1">
        <v>45917</v>
      </c>
      <c r="C412" s="1">
        <v>45924</v>
      </c>
      <c r="D412" t="s">
        <v>131</v>
      </c>
      <c r="E412" t="s">
        <v>39</v>
      </c>
      <c r="F412" t="s">
        <v>40</v>
      </c>
      <c r="G412" t="s">
        <v>41</v>
      </c>
      <c r="H412" t="s">
        <v>42</v>
      </c>
      <c r="I412" t="s">
        <v>43</v>
      </c>
      <c r="J412" t="s">
        <v>44</v>
      </c>
      <c r="K412">
        <v>7</v>
      </c>
      <c r="L412">
        <v>568</v>
      </c>
      <c r="M412">
        <v>0.05</v>
      </c>
      <c r="N412">
        <v>3777.2</v>
      </c>
      <c r="O412">
        <v>827.21</v>
      </c>
      <c r="P412" t="s">
        <v>45</v>
      </c>
      <c r="Q412" t="s">
        <v>46</v>
      </c>
    </row>
    <row r="413" spans="1:17" x14ac:dyDescent="0.35">
      <c r="A413" t="s">
        <v>595</v>
      </c>
      <c r="B413" s="1">
        <v>45918</v>
      </c>
      <c r="C413" s="1">
        <v>45920</v>
      </c>
      <c r="D413" t="s">
        <v>134</v>
      </c>
      <c r="E413" t="s">
        <v>19</v>
      </c>
      <c r="F413" t="s">
        <v>49</v>
      </c>
      <c r="G413" t="s">
        <v>50</v>
      </c>
      <c r="H413" t="s">
        <v>22</v>
      </c>
      <c r="I413" t="s">
        <v>23</v>
      </c>
      <c r="J413" t="s">
        <v>51</v>
      </c>
      <c r="K413">
        <v>2</v>
      </c>
      <c r="L413">
        <v>615</v>
      </c>
      <c r="M413">
        <v>0.1</v>
      </c>
      <c r="N413">
        <v>1107</v>
      </c>
      <c r="O413">
        <v>130.63</v>
      </c>
      <c r="P413" t="s">
        <v>52</v>
      </c>
      <c r="Q413" t="s">
        <v>53</v>
      </c>
    </row>
    <row r="414" spans="1:17" x14ac:dyDescent="0.35">
      <c r="A414" t="s">
        <v>596</v>
      </c>
      <c r="B414" s="1">
        <v>45920</v>
      </c>
      <c r="C414" s="1">
        <v>45925</v>
      </c>
      <c r="D414" t="s">
        <v>136</v>
      </c>
      <c r="E414" t="s">
        <v>29</v>
      </c>
      <c r="F414" t="s">
        <v>20</v>
      </c>
      <c r="G414" t="s">
        <v>56</v>
      </c>
      <c r="H414" t="s">
        <v>32</v>
      </c>
      <c r="I414" t="s">
        <v>33</v>
      </c>
      <c r="J414" t="s">
        <v>57</v>
      </c>
      <c r="K414">
        <v>5</v>
      </c>
      <c r="L414">
        <v>662</v>
      </c>
      <c r="M414">
        <v>0.15</v>
      </c>
      <c r="N414">
        <v>2813.5</v>
      </c>
      <c r="O414">
        <v>554.26</v>
      </c>
      <c r="P414" t="s">
        <v>25</v>
      </c>
      <c r="Q414" t="s">
        <v>26</v>
      </c>
    </row>
    <row r="415" spans="1:17" x14ac:dyDescent="0.35">
      <c r="A415" t="s">
        <v>597</v>
      </c>
      <c r="B415" s="1">
        <v>45921</v>
      </c>
      <c r="C415" s="1">
        <v>45929</v>
      </c>
      <c r="D415" t="s">
        <v>138</v>
      </c>
      <c r="E415" t="s">
        <v>39</v>
      </c>
      <c r="F415" t="s">
        <v>30</v>
      </c>
      <c r="G415" t="s">
        <v>60</v>
      </c>
      <c r="H415" t="s">
        <v>42</v>
      </c>
      <c r="I415" t="s">
        <v>43</v>
      </c>
      <c r="J415" t="s">
        <v>61</v>
      </c>
      <c r="K415">
        <v>8</v>
      </c>
      <c r="L415">
        <v>709</v>
      </c>
      <c r="M415">
        <v>0.2</v>
      </c>
      <c r="N415">
        <v>4537.6000000000004</v>
      </c>
      <c r="O415">
        <v>571.74</v>
      </c>
      <c r="P415" t="s">
        <v>35</v>
      </c>
      <c r="Q415" t="s">
        <v>36</v>
      </c>
    </row>
    <row r="416" spans="1:17" x14ac:dyDescent="0.35">
      <c r="A416" t="s">
        <v>598</v>
      </c>
      <c r="B416" s="1">
        <v>45923</v>
      </c>
      <c r="C416" s="1">
        <v>45926</v>
      </c>
      <c r="D416" t="s">
        <v>140</v>
      </c>
      <c r="E416" t="s">
        <v>19</v>
      </c>
      <c r="F416" t="s">
        <v>40</v>
      </c>
      <c r="G416" t="s">
        <v>64</v>
      </c>
      <c r="H416" t="s">
        <v>22</v>
      </c>
      <c r="I416" t="s">
        <v>75</v>
      </c>
      <c r="J416" t="s">
        <v>168</v>
      </c>
      <c r="K416">
        <v>3</v>
      </c>
      <c r="L416">
        <v>756</v>
      </c>
      <c r="M416">
        <v>0</v>
      </c>
      <c r="N416">
        <v>2268</v>
      </c>
      <c r="O416">
        <v>408.24</v>
      </c>
      <c r="P416" t="s">
        <v>45</v>
      </c>
      <c r="Q416" t="s">
        <v>46</v>
      </c>
    </row>
    <row r="417" spans="1:17" x14ac:dyDescent="0.35">
      <c r="A417" t="s">
        <v>599</v>
      </c>
      <c r="B417" s="1">
        <v>45924</v>
      </c>
      <c r="C417" s="1">
        <v>45930</v>
      </c>
      <c r="D417" t="s">
        <v>142</v>
      </c>
      <c r="E417" t="s">
        <v>29</v>
      </c>
      <c r="F417" t="s">
        <v>49</v>
      </c>
      <c r="G417" t="s">
        <v>68</v>
      </c>
      <c r="H417" t="s">
        <v>32</v>
      </c>
      <c r="I417" t="s">
        <v>79</v>
      </c>
      <c r="J417" t="s">
        <v>171</v>
      </c>
      <c r="K417">
        <v>6</v>
      </c>
      <c r="L417">
        <v>23</v>
      </c>
      <c r="M417">
        <v>0</v>
      </c>
      <c r="N417">
        <v>138</v>
      </c>
      <c r="O417">
        <v>40.020000000000003</v>
      </c>
      <c r="P417" t="s">
        <v>52</v>
      </c>
      <c r="Q417" t="s">
        <v>53</v>
      </c>
    </row>
    <row r="418" spans="1:17" x14ac:dyDescent="0.35">
      <c r="A418" t="s">
        <v>600</v>
      </c>
      <c r="B418" s="1">
        <v>45926</v>
      </c>
      <c r="C418" s="1">
        <v>45927</v>
      </c>
      <c r="D418" t="s">
        <v>144</v>
      </c>
      <c r="E418" t="s">
        <v>39</v>
      </c>
      <c r="F418" t="s">
        <v>20</v>
      </c>
      <c r="G418" t="s">
        <v>21</v>
      </c>
      <c r="H418" t="s">
        <v>42</v>
      </c>
      <c r="I418" t="s">
        <v>83</v>
      </c>
      <c r="J418" t="s">
        <v>174</v>
      </c>
      <c r="K418">
        <v>1</v>
      </c>
      <c r="L418">
        <v>70</v>
      </c>
      <c r="M418">
        <v>0.05</v>
      </c>
      <c r="N418">
        <v>66.5</v>
      </c>
      <c r="O418">
        <v>14.56</v>
      </c>
      <c r="P418" t="s">
        <v>25</v>
      </c>
      <c r="Q418" t="s">
        <v>26</v>
      </c>
    </row>
    <row r="419" spans="1:17" x14ac:dyDescent="0.35">
      <c r="A419" t="s">
        <v>601</v>
      </c>
      <c r="B419" s="1">
        <v>45927</v>
      </c>
      <c r="C419" s="1">
        <v>45931</v>
      </c>
      <c r="D419" t="s">
        <v>146</v>
      </c>
      <c r="E419" t="s">
        <v>19</v>
      </c>
      <c r="F419" t="s">
        <v>30</v>
      </c>
      <c r="G419" t="s">
        <v>31</v>
      </c>
      <c r="H419" t="s">
        <v>22</v>
      </c>
      <c r="I419" t="s">
        <v>75</v>
      </c>
      <c r="J419" t="s">
        <v>76</v>
      </c>
      <c r="K419">
        <v>4</v>
      </c>
      <c r="L419">
        <v>117</v>
      </c>
      <c r="M419">
        <v>0.1</v>
      </c>
      <c r="N419">
        <v>421.2</v>
      </c>
      <c r="O419">
        <v>49.7</v>
      </c>
      <c r="P419" t="s">
        <v>35</v>
      </c>
      <c r="Q419" t="s">
        <v>36</v>
      </c>
    </row>
    <row r="420" spans="1:17" x14ac:dyDescent="0.35">
      <c r="A420" t="s">
        <v>602</v>
      </c>
      <c r="B420" s="1">
        <v>45929</v>
      </c>
      <c r="C420" s="1">
        <v>45936</v>
      </c>
      <c r="D420" t="s">
        <v>149</v>
      </c>
      <c r="E420" t="s">
        <v>29</v>
      </c>
      <c r="F420" t="s">
        <v>40</v>
      </c>
      <c r="G420" t="s">
        <v>41</v>
      </c>
      <c r="H420" t="s">
        <v>32</v>
      </c>
      <c r="I420" t="s">
        <v>79</v>
      </c>
      <c r="J420" t="s">
        <v>80</v>
      </c>
      <c r="K420">
        <v>7</v>
      </c>
      <c r="L420">
        <v>164</v>
      </c>
      <c r="M420">
        <v>0.15</v>
      </c>
      <c r="N420">
        <v>975.8</v>
      </c>
      <c r="O420">
        <v>-80.989999999999995</v>
      </c>
      <c r="P420" t="s">
        <v>45</v>
      </c>
      <c r="Q420" t="s">
        <v>46</v>
      </c>
    </row>
    <row r="421" spans="1:17" x14ac:dyDescent="0.35">
      <c r="A421" t="s">
        <v>603</v>
      </c>
      <c r="B421" s="1">
        <v>45930</v>
      </c>
      <c r="C421" s="1">
        <v>45932</v>
      </c>
      <c r="D421" t="s">
        <v>152</v>
      </c>
      <c r="E421" t="s">
        <v>39</v>
      </c>
      <c r="F421" t="s">
        <v>49</v>
      </c>
      <c r="G421" t="s">
        <v>50</v>
      </c>
      <c r="H421" t="s">
        <v>42</v>
      </c>
      <c r="I421" t="s">
        <v>83</v>
      </c>
      <c r="J421" t="s">
        <v>84</v>
      </c>
      <c r="K421">
        <v>2</v>
      </c>
      <c r="L421">
        <v>211</v>
      </c>
      <c r="M421">
        <v>0.2</v>
      </c>
      <c r="N421">
        <v>337.6</v>
      </c>
      <c r="O421">
        <v>42.54</v>
      </c>
      <c r="P421" t="s">
        <v>52</v>
      </c>
      <c r="Q421" t="s">
        <v>53</v>
      </c>
    </row>
    <row r="422" spans="1:17" x14ac:dyDescent="0.35">
      <c r="A422" t="s">
        <v>604</v>
      </c>
      <c r="B422" s="1">
        <v>45932</v>
      </c>
      <c r="C422" s="1">
        <v>45937</v>
      </c>
      <c r="D422" t="s">
        <v>155</v>
      </c>
      <c r="E422" t="s">
        <v>19</v>
      </c>
      <c r="F422" t="s">
        <v>20</v>
      </c>
      <c r="G422" t="s">
        <v>56</v>
      </c>
      <c r="H422" t="s">
        <v>22</v>
      </c>
      <c r="I422" t="s">
        <v>75</v>
      </c>
      <c r="J422" t="s">
        <v>87</v>
      </c>
      <c r="K422">
        <v>5</v>
      </c>
      <c r="L422">
        <v>258</v>
      </c>
      <c r="M422">
        <v>0</v>
      </c>
      <c r="N422">
        <v>1290</v>
      </c>
      <c r="O422">
        <v>232.2</v>
      </c>
      <c r="P422" t="s">
        <v>25</v>
      </c>
      <c r="Q422" t="s">
        <v>26</v>
      </c>
    </row>
    <row r="423" spans="1:17" x14ac:dyDescent="0.35">
      <c r="A423" t="s">
        <v>605</v>
      </c>
      <c r="B423" s="1">
        <v>45933</v>
      </c>
      <c r="C423" s="1">
        <v>45941</v>
      </c>
      <c r="D423" t="s">
        <v>157</v>
      </c>
      <c r="E423" t="s">
        <v>29</v>
      </c>
      <c r="F423" t="s">
        <v>30</v>
      </c>
      <c r="G423" t="s">
        <v>60</v>
      </c>
      <c r="H423" t="s">
        <v>32</v>
      </c>
      <c r="I423" t="s">
        <v>79</v>
      </c>
      <c r="J423" t="s">
        <v>90</v>
      </c>
      <c r="K423">
        <v>8</v>
      </c>
      <c r="L423">
        <v>305</v>
      </c>
      <c r="M423">
        <v>0</v>
      </c>
      <c r="N423">
        <v>2440</v>
      </c>
      <c r="O423">
        <v>707.6</v>
      </c>
      <c r="P423" t="s">
        <v>35</v>
      </c>
      <c r="Q423" t="s">
        <v>36</v>
      </c>
    </row>
    <row r="424" spans="1:17" x14ac:dyDescent="0.35">
      <c r="A424" t="s">
        <v>606</v>
      </c>
      <c r="B424" s="1">
        <v>45935</v>
      </c>
      <c r="C424" s="1">
        <v>45938</v>
      </c>
      <c r="D424" t="s">
        <v>159</v>
      </c>
      <c r="E424" t="s">
        <v>39</v>
      </c>
      <c r="F424" t="s">
        <v>40</v>
      </c>
      <c r="G424" t="s">
        <v>64</v>
      </c>
      <c r="H424" t="s">
        <v>42</v>
      </c>
      <c r="I424" t="s">
        <v>83</v>
      </c>
      <c r="J424" t="s">
        <v>93</v>
      </c>
      <c r="K424">
        <v>3</v>
      </c>
      <c r="L424">
        <v>352</v>
      </c>
      <c r="M424">
        <v>0.05</v>
      </c>
      <c r="N424">
        <v>1003.2</v>
      </c>
      <c r="O424">
        <v>219.7</v>
      </c>
      <c r="P424" t="s">
        <v>45</v>
      </c>
      <c r="Q424" t="s">
        <v>46</v>
      </c>
    </row>
    <row r="425" spans="1:17" x14ac:dyDescent="0.35">
      <c r="A425" t="s">
        <v>607</v>
      </c>
      <c r="B425" s="1">
        <v>45936</v>
      </c>
      <c r="C425" s="1">
        <v>45942</v>
      </c>
      <c r="D425" t="s">
        <v>161</v>
      </c>
      <c r="E425" t="s">
        <v>19</v>
      </c>
      <c r="F425" t="s">
        <v>49</v>
      </c>
      <c r="G425" t="s">
        <v>68</v>
      </c>
      <c r="H425" t="s">
        <v>22</v>
      </c>
      <c r="I425" t="s">
        <v>105</v>
      </c>
      <c r="J425" t="s">
        <v>189</v>
      </c>
      <c r="K425">
        <v>6</v>
      </c>
      <c r="L425">
        <v>399</v>
      </c>
      <c r="M425">
        <v>0.1</v>
      </c>
      <c r="N425">
        <v>2154.6</v>
      </c>
      <c r="O425">
        <v>254.24</v>
      </c>
      <c r="P425" t="s">
        <v>52</v>
      </c>
      <c r="Q425" t="s">
        <v>53</v>
      </c>
    </row>
    <row r="426" spans="1:17" x14ac:dyDescent="0.35">
      <c r="A426" t="s">
        <v>608</v>
      </c>
      <c r="B426" s="1">
        <v>45938</v>
      </c>
      <c r="C426" s="1">
        <v>45939</v>
      </c>
      <c r="D426" t="s">
        <v>163</v>
      </c>
      <c r="E426" t="s">
        <v>29</v>
      </c>
      <c r="F426" t="s">
        <v>20</v>
      </c>
      <c r="G426" t="s">
        <v>21</v>
      </c>
      <c r="H426" t="s">
        <v>32</v>
      </c>
      <c r="I426" t="s">
        <v>109</v>
      </c>
      <c r="J426" t="s">
        <v>192</v>
      </c>
      <c r="K426">
        <v>1</v>
      </c>
      <c r="L426">
        <v>446</v>
      </c>
      <c r="M426">
        <v>0.15</v>
      </c>
      <c r="N426">
        <v>379.1</v>
      </c>
      <c r="O426">
        <v>74.680000000000007</v>
      </c>
      <c r="P426" t="s">
        <v>25</v>
      </c>
      <c r="Q426" t="s">
        <v>26</v>
      </c>
    </row>
    <row r="427" spans="1:17" x14ac:dyDescent="0.35">
      <c r="A427" t="s">
        <v>609</v>
      </c>
      <c r="B427" s="1">
        <v>45939</v>
      </c>
      <c r="C427" s="1">
        <v>45943</v>
      </c>
      <c r="D427" t="s">
        <v>165</v>
      </c>
      <c r="E427" t="s">
        <v>39</v>
      </c>
      <c r="F427" t="s">
        <v>30</v>
      </c>
      <c r="G427" t="s">
        <v>31</v>
      </c>
      <c r="H427" t="s">
        <v>42</v>
      </c>
      <c r="I427" t="s">
        <v>113</v>
      </c>
      <c r="J427" t="s">
        <v>195</v>
      </c>
      <c r="K427">
        <v>4</v>
      </c>
      <c r="L427">
        <v>493</v>
      </c>
      <c r="M427">
        <v>0.2</v>
      </c>
      <c r="N427">
        <v>1577.6</v>
      </c>
      <c r="O427">
        <v>198.78</v>
      </c>
      <c r="P427" t="s">
        <v>35</v>
      </c>
      <c r="Q427" t="s">
        <v>36</v>
      </c>
    </row>
    <row r="428" spans="1:17" x14ac:dyDescent="0.35">
      <c r="A428" t="s">
        <v>610</v>
      </c>
      <c r="B428" s="1">
        <v>45941</v>
      </c>
      <c r="C428" s="1">
        <v>45948</v>
      </c>
      <c r="D428" t="s">
        <v>167</v>
      </c>
      <c r="E428" t="s">
        <v>19</v>
      </c>
      <c r="F428" t="s">
        <v>40</v>
      </c>
      <c r="G428" t="s">
        <v>41</v>
      </c>
      <c r="H428" t="s">
        <v>22</v>
      </c>
      <c r="I428" t="s">
        <v>105</v>
      </c>
      <c r="J428" t="s">
        <v>106</v>
      </c>
      <c r="K428">
        <v>7</v>
      </c>
      <c r="L428">
        <v>540</v>
      </c>
      <c r="M428">
        <v>0</v>
      </c>
      <c r="N428">
        <v>3780</v>
      </c>
      <c r="O428">
        <v>680.4</v>
      </c>
      <c r="P428" t="s">
        <v>45</v>
      </c>
      <c r="Q428" t="s">
        <v>46</v>
      </c>
    </row>
    <row r="429" spans="1:17" x14ac:dyDescent="0.35">
      <c r="A429" t="s">
        <v>611</v>
      </c>
      <c r="B429" s="1">
        <v>45942</v>
      </c>
      <c r="C429" s="1">
        <v>45944</v>
      </c>
      <c r="D429" t="s">
        <v>170</v>
      </c>
      <c r="E429" t="s">
        <v>29</v>
      </c>
      <c r="F429" t="s">
        <v>49</v>
      </c>
      <c r="G429" t="s">
        <v>50</v>
      </c>
      <c r="H429" t="s">
        <v>32</v>
      </c>
      <c r="I429" t="s">
        <v>109</v>
      </c>
      <c r="J429" t="s">
        <v>110</v>
      </c>
      <c r="K429">
        <v>2</v>
      </c>
      <c r="L429">
        <v>587</v>
      </c>
      <c r="M429">
        <v>0</v>
      </c>
      <c r="N429">
        <v>1174</v>
      </c>
      <c r="O429">
        <v>340.46</v>
      </c>
      <c r="P429" t="s">
        <v>52</v>
      </c>
      <c r="Q429" t="s">
        <v>53</v>
      </c>
    </row>
    <row r="430" spans="1:17" x14ac:dyDescent="0.35">
      <c r="A430" t="s">
        <v>612</v>
      </c>
      <c r="B430" s="1">
        <v>45944</v>
      </c>
      <c r="C430" s="1">
        <v>45949</v>
      </c>
      <c r="D430" t="s">
        <v>173</v>
      </c>
      <c r="E430" t="s">
        <v>39</v>
      </c>
      <c r="F430" t="s">
        <v>20</v>
      </c>
      <c r="G430" t="s">
        <v>56</v>
      </c>
      <c r="H430" t="s">
        <v>42</v>
      </c>
      <c r="I430" t="s">
        <v>113</v>
      </c>
      <c r="J430" t="s">
        <v>114</v>
      </c>
      <c r="K430">
        <v>5</v>
      </c>
      <c r="L430">
        <v>634</v>
      </c>
      <c r="M430">
        <v>0.05</v>
      </c>
      <c r="N430">
        <v>3011.5</v>
      </c>
      <c r="O430">
        <v>659.52</v>
      </c>
      <c r="P430" t="s">
        <v>25</v>
      </c>
      <c r="Q430" t="s">
        <v>26</v>
      </c>
    </row>
    <row r="431" spans="1:17" x14ac:dyDescent="0.35">
      <c r="A431" t="s">
        <v>613</v>
      </c>
      <c r="B431" s="1">
        <v>45946</v>
      </c>
      <c r="C431" s="1">
        <v>45954</v>
      </c>
      <c r="D431" t="s">
        <v>176</v>
      </c>
      <c r="E431" t="s">
        <v>19</v>
      </c>
      <c r="F431" t="s">
        <v>30</v>
      </c>
      <c r="G431" t="s">
        <v>60</v>
      </c>
      <c r="H431" t="s">
        <v>22</v>
      </c>
      <c r="I431" t="s">
        <v>105</v>
      </c>
      <c r="J431" t="s">
        <v>117</v>
      </c>
      <c r="K431">
        <v>8</v>
      </c>
      <c r="L431">
        <v>681</v>
      </c>
      <c r="M431">
        <v>0.1</v>
      </c>
      <c r="N431">
        <v>4903.2</v>
      </c>
      <c r="O431">
        <v>578.58000000000004</v>
      </c>
      <c r="P431" t="s">
        <v>35</v>
      </c>
      <c r="Q431" t="s">
        <v>36</v>
      </c>
    </row>
    <row r="432" spans="1:17" x14ac:dyDescent="0.35">
      <c r="A432" t="s">
        <v>614</v>
      </c>
      <c r="B432" s="1">
        <v>45947</v>
      </c>
      <c r="C432" s="1">
        <v>45950</v>
      </c>
      <c r="D432" t="s">
        <v>178</v>
      </c>
      <c r="E432" t="s">
        <v>29</v>
      </c>
      <c r="F432" t="s">
        <v>40</v>
      </c>
      <c r="G432" t="s">
        <v>64</v>
      </c>
      <c r="H432" t="s">
        <v>32</v>
      </c>
      <c r="I432" t="s">
        <v>109</v>
      </c>
      <c r="J432" t="s">
        <v>120</v>
      </c>
      <c r="K432">
        <v>3</v>
      </c>
      <c r="L432">
        <v>728</v>
      </c>
      <c r="M432">
        <v>0.15</v>
      </c>
      <c r="N432">
        <v>1856.4</v>
      </c>
      <c r="O432">
        <v>365.71</v>
      </c>
      <c r="P432" t="s">
        <v>45</v>
      </c>
      <c r="Q432" t="s">
        <v>46</v>
      </c>
    </row>
    <row r="433" spans="1:17" x14ac:dyDescent="0.35">
      <c r="A433" t="s">
        <v>615</v>
      </c>
      <c r="B433" s="1">
        <v>45949</v>
      </c>
      <c r="C433" s="1">
        <v>45955</v>
      </c>
      <c r="D433" t="s">
        <v>180</v>
      </c>
      <c r="E433" t="s">
        <v>39</v>
      </c>
      <c r="F433" t="s">
        <v>49</v>
      </c>
      <c r="G433" t="s">
        <v>68</v>
      </c>
      <c r="H433" t="s">
        <v>42</v>
      </c>
      <c r="I433" t="s">
        <v>113</v>
      </c>
      <c r="J433" t="s">
        <v>123</v>
      </c>
      <c r="K433">
        <v>6</v>
      </c>
      <c r="L433">
        <v>775</v>
      </c>
      <c r="M433">
        <v>0.2</v>
      </c>
      <c r="N433">
        <v>3720</v>
      </c>
      <c r="O433">
        <v>468.72</v>
      </c>
      <c r="P433" t="s">
        <v>52</v>
      </c>
      <c r="Q433" t="s">
        <v>53</v>
      </c>
    </row>
    <row r="434" spans="1:17" x14ac:dyDescent="0.35">
      <c r="A434" t="s">
        <v>616</v>
      </c>
      <c r="B434" s="1">
        <v>45950</v>
      </c>
      <c r="C434" s="1">
        <v>45951</v>
      </c>
      <c r="D434" t="s">
        <v>182</v>
      </c>
      <c r="E434" t="s">
        <v>19</v>
      </c>
      <c r="F434" t="s">
        <v>20</v>
      </c>
      <c r="G434" t="s">
        <v>21</v>
      </c>
      <c r="H434" t="s">
        <v>22</v>
      </c>
      <c r="I434" t="s">
        <v>23</v>
      </c>
      <c r="J434" t="s">
        <v>24</v>
      </c>
      <c r="K434">
        <v>1</v>
      </c>
      <c r="L434">
        <v>42</v>
      </c>
      <c r="M434">
        <v>0</v>
      </c>
      <c r="N434">
        <v>42</v>
      </c>
      <c r="O434">
        <v>7.56</v>
      </c>
      <c r="P434" t="s">
        <v>25</v>
      </c>
      <c r="Q434" t="s">
        <v>26</v>
      </c>
    </row>
    <row r="435" spans="1:17" x14ac:dyDescent="0.35">
      <c r="A435" t="s">
        <v>617</v>
      </c>
      <c r="B435" s="1">
        <v>45952</v>
      </c>
      <c r="C435" s="1">
        <v>45956</v>
      </c>
      <c r="D435" t="s">
        <v>184</v>
      </c>
      <c r="E435" t="s">
        <v>29</v>
      </c>
      <c r="F435" t="s">
        <v>30</v>
      </c>
      <c r="G435" t="s">
        <v>31</v>
      </c>
      <c r="H435" t="s">
        <v>32</v>
      </c>
      <c r="I435" t="s">
        <v>33</v>
      </c>
      <c r="J435" t="s">
        <v>34</v>
      </c>
      <c r="K435">
        <v>4</v>
      </c>
      <c r="L435">
        <v>89</v>
      </c>
      <c r="M435">
        <v>0</v>
      </c>
      <c r="N435">
        <v>356</v>
      </c>
      <c r="O435">
        <v>103.24</v>
      </c>
      <c r="P435" t="s">
        <v>35</v>
      </c>
      <c r="Q435" t="s">
        <v>36</v>
      </c>
    </row>
    <row r="436" spans="1:17" x14ac:dyDescent="0.35">
      <c r="A436" t="s">
        <v>618</v>
      </c>
      <c r="B436" s="1">
        <v>45953</v>
      </c>
      <c r="C436" s="1">
        <v>45960</v>
      </c>
      <c r="D436" t="s">
        <v>186</v>
      </c>
      <c r="E436" t="s">
        <v>39</v>
      </c>
      <c r="F436" t="s">
        <v>40</v>
      </c>
      <c r="G436" t="s">
        <v>41</v>
      </c>
      <c r="H436" t="s">
        <v>42</v>
      </c>
      <c r="I436" t="s">
        <v>43</v>
      </c>
      <c r="J436" t="s">
        <v>44</v>
      </c>
      <c r="K436">
        <v>7</v>
      </c>
      <c r="L436">
        <v>136</v>
      </c>
      <c r="M436">
        <v>0.05</v>
      </c>
      <c r="N436">
        <v>904.4</v>
      </c>
      <c r="O436">
        <v>198.06</v>
      </c>
      <c r="P436" t="s">
        <v>45</v>
      </c>
      <c r="Q436" t="s">
        <v>46</v>
      </c>
    </row>
    <row r="437" spans="1:17" x14ac:dyDescent="0.35">
      <c r="A437" t="s">
        <v>619</v>
      </c>
      <c r="B437" s="1">
        <v>45955</v>
      </c>
      <c r="C437" s="1">
        <v>45957</v>
      </c>
      <c r="D437" t="s">
        <v>188</v>
      </c>
      <c r="E437" t="s">
        <v>19</v>
      </c>
      <c r="F437" t="s">
        <v>49</v>
      </c>
      <c r="G437" t="s">
        <v>50</v>
      </c>
      <c r="H437" t="s">
        <v>22</v>
      </c>
      <c r="I437" t="s">
        <v>23</v>
      </c>
      <c r="J437" t="s">
        <v>51</v>
      </c>
      <c r="K437">
        <v>2</v>
      </c>
      <c r="L437">
        <v>183</v>
      </c>
      <c r="M437">
        <v>0.1</v>
      </c>
      <c r="N437">
        <v>329.4</v>
      </c>
      <c r="O437">
        <v>38.869999999999997</v>
      </c>
      <c r="P437" t="s">
        <v>52</v>
      </c>
      <c r="Q437" t="s">
        <v>53</v>
      </c>
    </row>
    <row r="438" spans="1:17" x14ac:dyDescent="0.35">
      <c r="A438" t="s">
        <v>620</v>
      </c>
      <c r="B438" s="1">
        <v>45956</v>
      </c>
      <c r="C438" s="1">
        <v>45961</v>
      </c>
      <c r="D438" t="s">
        <v>191</v>
      </c>
      <c r="E438" t="s">
        <v>29</v>
      </c>
      <c r="F438" t="s">
        <v>20</v>
      </c>
      <c r="G438" t="s">
        <v>56</v>
      </c>
      <c r="H438" t="s">
        <v>32</v>
      </c>
      <c r="I438" t="s">
        <v>33</v>
      </c>
      <c r="J438" t="s">
        <v>57</v>
      </c>
      <c r="K438">
        <v>5</v>
      </c>
      <c r="L438">
        <v>230</v>
      </c>
      <c r="M438">
        <v>0.15</v>
      </c>
      <c r="N438">
        <v>977.5</v>
      </c>
      <c r="O438">
        <v>192.57</v>
      </c>
      <c r="P438" t="s">
        <v>25</v>
      </c>
      <c r="Q438" t="s">
        <v>26</v>
      </c>
    </row>
    <row r="439" spans="1:17" x14ac:dyDescent="0.35">
      <c r="A439" t="s">
        <v>621</v>
      </c>
      <c r="B439" s="1">
        <v>45958</v>
      </c>
      <c r="C439" s="1">
        <v>45966</v>
      </c>
      <c r="D439" t="s">
        <v>194</v>
      </c>
      <c r="E439" t="s">
        <v>39</v>
      </c>
      <c r="F439" t="s">
        <v>30</v>
      </c>
      <c r="G439" t="s">
        <v>60</v>
      </c>
      <c r="H439" t="s">
        <v>42</v>
      </c>
      <c r="I439" t="s">
        <v>43</v>
      </c>
      <c r="J439" t="s">
        <v>61</v>
      </c>
      <c r="K439">
        <v>8</v>
      </c>
      <c r="L439">
        <v>277</v>
      </c>
      <c r="M439">
        <v>0.2</v>
      </c>
      <c r="N439">
        <v>1772.8</v>
      </c>
      <c r="O439">
        <v>-273.01</v>
      </c>
      <c r="P439" t="s">
        <v>35</v>
      </c>
      <c r="Q439" t="s">
        <v>36</v>
      </c>
    </row>
    <row r="440" spans="1:17" x14ac:dyDescent="0.35">
      <c r="A440" t="s">
        <v>622</v>
      </c>
      <c r="B440" s="1">
        <v>45959</v>
      </c>
      <c r="C440" s="1">
        <v>45962</v>
      </c>
      <c r="D440" t="s">
        <v>197</v>
      </c>
      <c r="E440" t="s">
        <v>19</v>
      </c>
      <c r="F440" t="s">
        <v>40</v>
      </c>
      <c r="G440" t="s">
        <v>64</v>
      </c>
      <c r="H440" t="s">
        <v>22</v>
      </c>
      <c r="I440" t="s">
        <v>23</v>
      </c>
      <c r="J440" t="s">
        <v>65</v>
      </c>
      <c r="K440">
        <v>3</v>
      </c>
      <c r="L440">
        <v>324</v>
      </c>
      <c r="M440">
        <v>0</v>
      </c>
      <c r="N440">
        <v>972</v>
      </c>
      <c r="O440">
        <v>174.96</v>
      </c>
      <c r="P440" t="s">
        <v>45</v>
      </c>
      <c r="Q440" t="s">
        <v>46</v>
      </c>
    </row>
    <row r="441" spans="1:17" x14ac:dyDescent="0.35">
      <c r="A441" t="s">
        <v>623</v>
      </c>
      <c r="B441" s="1">
        <v>45961</v>
      </c>
      <c r="C441" s="1">
        <v>45967</v>
      </c>
      <c r="D441" t="s">
        <v>199</v>
      </c>
      <c r="E441" t="s">
        <v>29</v>
      </c>
      <c r="F441" t="s">
        <v>49</v>
      </c>
      <c r="G441" t="s">
        <v>68</v>
      </c>
      <c r="H441" t="s">
        <v>32</v>
      </c>
      <c r="I441" t="s">
        <v>33</v>
      </c>
      <c r="J441" t="s">
        <v>69</v>
      </c>
      <c r="K441">
        <v>6</v>
      </c>
      <c r="L441">
        <v>371</v>
      </c>
      <c r="M441">
        <v>0</v>
      </c>
      <c r="N441">
        <v>2226</v>
      </c>
      <c r="O441">
        <v>645.54</v>
      </c>
      <c r="P441" t="s">
        <v>52</v>
      </c>
      <c r="Q441" t="s">
        <v>53</v>
      </c>
    </row>
    <row r="442" spans="1:17" x14ac:dyDescent="0.35">
      <c r="A442" t="s">
        <v>624</v>
      </c>
      <c r="B442" s="1">
        <v>45962</v>
      </c>
      <c r="C442" s="1">
        <v>45963</v>
      </c>
      <c r="D442" t="s">
        <v>201</v>
      </c>
      <c r="E442" t="s">
        <v>39</v>
      </c>
      <c r="F442" t="s">
        <v>20</v>
      </c>
      <c r="G442" t="s">
        <v>21</v>
      </c>
      <c r="H442" t="s">
        <v>42</v>
      </c>
      <c r="I442" t="s">
        <v>43</v>
      </c>
      <c r="J442" t="s">
        <v>72</v>
      </c>
      <c r="K442">
        <v>1</v>
      </c>
      <c r="L442">
        <v>418</v>
      </c>
      <c r="M442">
        <v>0.05</v>
      </c>
      <c r="N442">
        <v>397.1</v>
      </c>
      <c r="O442">
        <v>86.96</v>
      </c>
      <c r="P442" t="s">
        <v>25</v>
      </c>
      <c r="Q442" t="s">
        <v>26</v>
      </c>
    </row>
    <row r="443" spans="1:17" x14ac:dyDescent="0.35">
      <c r="A443" t="s">
        <v>625</v>
      </c>
      <c r="B443" s="1">
        <v>45964</v>
      </c>
      <c r="C443" s="1">
        <v>45968</v>
      </c>
      <c r="D443" t="s">
        <v>203</v>
      </c>
      <c r="E443" t="s">
        <v>19</v>
      </c>
      <c r="F443" t="s">
        <v>30</v>
      </c>
      <c r="G443" t="s">
        <v>31</v>
      </c>
      <c r="H443" t="s">
        <v>22</v>
      </c>
      <c r="I443" t="s">
        <v>75</v>
      </c>
      <c r="J443" t="s">
        <v>76</v>
      </c>
      <c r="K443">
        <v>4</v>
      </c>
      <c r="L443">
        <v>465</v>
      </c>
      <c r="M443">
        <v>0.1</v>
      </c>
      <c r="N443">
        <v>1674</v>
      </c>
      <c r="O443">
        <v>197.53</v>
      </c>
      <c r="P443" t="s">
        <v>35</v>
      </c>
      <c r="Q443" t="s">
        <v>36</v>
      </c>
    </row>
    <row r="444" spans="1:17" x14ac:dyDescent="0.35">
      <c r="A444" t="s">
        <v>626</v>
      </c>
      <c r="B444" s="1">
        <v>45965</v>
      </c>
      <c r="C444" s="1">
        <v>45972</v>
      </c>
      <c r="D444" t="s">
        <v>205</v>
      </c>
      <c r="E444" t="s">
        <v>29</v>
      </c>
      <c r="F444" t="s">
        <v>40</v>
      </c>
      <c r="G444" t="s">
        <v>41</v>
      </c>
      <c r="H444" t="s">
        <v>32</v>
      </c>
      <c r="I444" t="s">
        <v>79</v>
      </c>
      <c r="J444" t="s">
        <v>80</v>
      </c>
      <c r="K444">
        <v>7</v>
      </c>
      <c r="L444">
        <v>512</v>
      </c>
      <c r="M444">
        <v>0.15</v>
      </c>
      <c r="N444">
        <v>3046.4</v>
      </c>
      <c r="O444">
        <v>600.14</v>
      </c>
      <c r="P444" t="s">
        <v>45</v>
      </c>
      <c r="Q444" t="s">
        <v>46</v>
      </c>
    </row>
    <row r="445" spans="1:17" x14ac:dyDescent="0.35">
      <c r="A445" t="s">
        <v>627</v>
      </c>
      <c r="B445" s="1">
        <v>45967</v>
      </c>
      <c r="C445" s="1">
        <v>45969</v>
      </c>
      <c r="D445" t="s">
        <v>207</v>
      </c>
      <c r="E445" t="s">
        <v>39</v>
      </c>
      <c r="F445" t="s">
        <v>49</v>
      </c>
      <c r="G445" t="s">
        <v>50</v>
      </c>
      <c r="H445" t="s">
        <v>42</v>
      </c>
      <c r="I445" t="s">
        <v>83</v>
      </c>
      <c r="J445" t="s">
        <v>84</v>
      </c>
      <c r="K445">
        <v>2</v>
      </c>
      <c r="L445">
        <v>559</v>
      </c>
      <c r="M445">
        <v>0.2</v>
      </c>
      <c r="N445">
        <v>894.4</v>
      </c>
      <c r="O445">
        <v>112.69</v>
      </c>
      <c r="P445" t="s">
        <v>52</v>
      </c>
      <c r="Q445" t="s">
        <v>53</v>
      </c>
    </row>
    <row r="446" spans="1:17" x14ac:dyDescent="0.35">
      <c r="A446" t="s">
        <v>628</v>
      </c>
      <c r="B446" s="1">
        <v>45968</v>
      </c>
      <c r="C446" s="1">
        <v>45973</v>
      </c>
      <c r="D446" t="s">
        <v>209</v>
      </c>
      <c r="E446" t="s">
        <v>19</v>
      </c>
      <c r="F446" t="s">
        <v>20</v>
      </c>
      <c r="G446" t="s">
        <v>56</v>
      </c>
      <c r="H446" t="s">
        <v>22</v>
      </c>
      <c r="I446" t="s">
        <v>75</v>
      </c>
      <c r="J446" t="s">
        <v>87</v>
      </c>
      <c r="K446">
        <v>5</v>
      </c>
      <c r="L446">
        <v>606</v>
      </c>
      <c r="M446">
        <v>0</v>
      </c>
      <c r="N446">
        <v>3030</v>
      </c>
      <c r="O446">
        <v>545.4</v>
      </c>
      <c r="P446" t="s">
        <v>25</v>
      </c>
      <c r="Q446" t="s">
        <v>26</v>
      </c>
    </row>
    <row r="447" spans="1:17" x14ac:dyDescent="0.35">
      <c r="A447" t="s">
        <v>629</v>
      </c>
      <c r="B447" s="1">
        <v>45970</v>
      </c>
      <c r="C447" s="1">
        <v>45978</v>
      </c>
      <c r="D447" t="s">
        <v>211</v>
      </c>
      <c r="E447" t="s">
        <v>29</v>
      </c>
      <c r="F447" t="s">
        <v>30</v>
      </c>
      <c r="G447" t="s">
        <v>60</v>
      </c>
      <c r="H447" t="s">
        <v>32</v>
      </c>
      <c r="I447" t="s">
        <v>79</v>
      </c>
      <c r="J447" t="s">
        <v>90</v>
      </c>
      <c r="K447">
        <v>8</v>
      </c>
      <c r="L447">
        <v>653</v>
      </c>
      <c r="M447">
        <v>0</v>
      </c>
      <c r="N447">
        <v>5224</v>
      </c>
      <c r="O447">
        <v>1514.96</v>
      </c>
      <c r="P447" t="s">
        <v>35</v>
      </c>
      <c r="Q447" t="s">
        <v>36</v>
      </c>
    </row>
    <row r="448" spans="1:17" x14ac:dyDescent="0.35">
      <c r="A448" t="s">
        <v>630</v>
      </c>
      <c r="B448" s="1">
        <v>45971</v>
      </c>
      <c r="C448" s="1">
        <v>45974</v>
      </c>
      <c r="D448" t="s">
        <v>213</v>
      </c>
      <c r="E448" t="s">
        <v>39</v>
      </c>
      <c r="F448" t="s">
        <v>40</v>
      </c>
      <c r="G448" t="s">
        <v>64</v>
      </c>
      <c r="H448" t="s">
        <v>42</v>
      </c>
      <c r="I448" t="s">
        <v>83</v>
      </c>
      <c r="J448" t="s">
        <v>93</v>
      </c>
      <c r="K448">
        <v>3</v>
      </c>
      <c r="L448">
        <v>700</v>
      </c>
      <c r="M448">
        <v>0.05</v>
      </c>
      <c r="N448">
        <v>1995</v>
      </c>
      <c r="O448">
        <v>436.91</v>
      </c>
      <c r="P448" t="s">
        <v>45</v>
      </c>
      <c r="Q448" t="s">
        <v>46</v>
      </c>
    </row>
    <row r="449" spans="1:17" x14ac:dyDescent="0.35">
      <c r="A449" t="s">
        <v>631</v>
      </c>
      <c r="B449" s="1">
        <v>45973</v>
      </c>
      <c r="C449" s="1">
        <v>45979</v>
      </c>
      <c r="D449" t="s">
        <v>215</v>
      </c>
      <c r="E449" t="s">
        <v>19</v>
      </c>
      <c r="F449" t="s">
        <v>49</v>
      </c>
      <c r="G449" t="s">
        <v>68</v>
      </c>
      <c r="H449" t="s">
        <v>22</v>
      </c>
      <c r="I449" t="s">
        <v>75</v>
      </c>
      <c r="J449" t="s">
        <v>96</v>
      </c>
      <c r="K449">
        <v>6</v>
      </c>
      <c r="L449">
        <v>747</v>
      </c>
      <c r="M449">
        <v>0.1</v>
      </c>
      <c r="N449">
        <v>4033.8</v>
      </c>
      <c r="O449">
        <v>475.99</v>
      </c>
      <c r="P449" t="s">
        <v>52</v>
      </c>
      <c r="Q449" t="s">
        <v>53</v>
      </c>
    </row>
    <row r="450" spans="1:17" x14ac:dyDescent="0.35">
      <c r="A450" t="s">
        <v>632</v>
      </c>
      <c r="B450" s="1">
        <v>45974</v>
      </c>
      <c r="C450" s="1">
        <v>45975</v>
      </c>
      <c r="D450" t="s">
        <v>217</v>
      </c>
      <c r="E450" t="s">
        <v>29</v>
      </c>
      <c r="F450" t="s">
        <v>20</v>
      </c>
      <c r="G450" t="s">
        <v>21</v>
      </c>
      <c r="H450" t="s">
        <v>32</v>
      </c>
      <c r="I450" t="s">
        <v>79</v>
      </c>
      <c r="J450" t="s">
        <v>99</v>
      </c>
      <c r="K450">
        <v>1</v>
      </c>
      <c r="L450">
        <v>794</v>
      </c>
      <c r="M450">
        <v>0.15</v>
      </c>
      <c r="N450">
        <v>674.9</v>
      </c>
      <c r="O450">
        <v>132.96</v>
      </c>
      <c r="P450" t="s">
        <v>25</v>
      </c>
      <c r="Q450" t="s">
        <v>26</v>
      </c>
    </row>
    <row r="451" spans="1:17" x14ac:dyDescent="0.35">
      <c r="A451" t="s">
        <v>633</v>
      </c>
      <c r="B451" s="1">
        <v>45976</v>
      </c>
      <c r="C451" s="1">
        <v>45980</v>
      </c>
      <c r="D451" t="s">
        <v>219</v>
      </c>
      <c r="E451" t="s">
        <v>39</v>
      </c>
      <c r="F451" t="s">
        <v>30</v>
      </c>
      <c r="G451" t="s">
        <v>31</v>
      </c>
      <c r="H451" t="s">
        <v>42</v>
      </c>
      <c r="I451" t="s">
        <v>83</v>
      </c>
      <c r="J451" t="s">
        <v>102</v>
      </c>
      <c r="K451">
        <v>4</v>
      </c>
      <c r="L451">
        <v>61</v>
      </c>
      <c r="M451">
        <v>0.2</v>
      </c>
      <c r="N451">
        <v>195.2</v>
      </c>
      <c r="O451">
        <v>24.6</v>
      </c>
      <c r="P451" t="s">
        <v>35</v>
      </c>
      <c r="Q451" t="s">
        <v>36</v>
      </c>
    </row>
    <row r="452" spans="1:17" x14ac:dyDescent="0.35">
      <c r="A452" t="s">
        <v>634</v>
      </c>
      <c r="B452" s="1">
        <v>45977</v>
      </c>
      <c r="C452" s="1">
        <v>45984</v>
      </c>
      <c r="D452" t="s">
        <v>221</v>
      </c>
      <c r="E452" t="s">
        <v>19</v>
      </c>
      <c r="F452" t="s">
        <v>40</v>
      </c>
      <c r="G452" t="s">
        <v>41</v>
      </c>
      <c r="H452" t="s">
        <v>22</v>
      </c>
      <c r="I452" t="s">
        <v>105</v>
      </c>
      <c r="J452" t="s">
        <v>106</v>
      </c>
      <c r="K452">
        <v>7</v>
      </c>
      <c r="L452">
        <v>108</v>
      </c>
      <c r="M452">
        <v>0</v>
      </c>
      <c r="N452">
        <v>756</v>
      </c>
      <c r="O452">
        <v>136.08000000000001</v>
      </c>
      <c r="P452" t="s">
        <v>45</v>
      </c>
      <c r="Q452" t="s">
        <v>46</v>
      </c>
    </row>
    <row r="453" spans="1:17" x14ac:dyDescent="0.35">
      <c r="A453" t="s">
        <v>635</v>
      </c>
      <c r="B453" s="1">
        <v>45979</v>
      </c>
      <c r="C453" s="1">
        <v>45981</v>
      </c>
      <c r="D453" t="s">
        <v>223</v>
      </c>
      <c r="E453" t="s">
        <v>29</v>
      </c>
      <c r="F453" t="s">
        <v>49</v>
      </c>
      <c r="G453" t="s">
        <v>50</v>
      </c>
      <c r="H453" t="s">
        <v>32</v>
      </c>
      <c r="I453" t="s">
        <v>109</v>
      </c>
      <c r="J453" t="s">
        <v>110</v>
      </c>
      <c r="K453">
        <v>2</v>
      </c>
      <c r="L453">
        <v>155</v>
      </c>
      <c r="M453">
        <v>0</v>
      </c>
      <c r="N453">
        <v>310</v>
      </c>
      <c r="O453">
        <v>89.9</v>
      </c>
      <c r="P453" t="s">
        <v>52</v>
      </c>
      <c r="Q453" t="s">
        <v>53</v>
      </c>
    </row>
    <row r="454" spans="1:17" x14ac:dyDescent="0.35">
      <c r="A454" t="s">
        <v>636</v>
      </c>
      <c r="B454" s="1">
        <v>45980</v>
      </c>
      <c r="C454" s="1">
        <v>45985</v>
      </c>
      <c r="D454" t="s">
        <v>225</v>
      </c>
      <c r="E454" t="s">
        <v>39</v>
      </c>
      <c r="F454" t="s">
        <v>20</v>
      </c>
      <c r="G454" t="s">
        <v>56</v>
      </c>
      <c r="H454" t="s">
        <v>42</v>
      </c>
      <c r="I454" t="s">
        <v>113</v>
      </c>
      <c r="J454" t="s">
        <v>114</v>
      </c>
      <c r="K454">
        <v>5</v>
      </c>
      <c r="L454">
        <v>202</v>
      </c>
      <c r="M454">
        <v>0.05</v>
      </c>
      <c r="N454">
        <v>959.5</v>
      </c>
      <c r="O454">
        <v>210.13</v>
      </c>
      <c r="P454" t="s">
        <v>25</v>
      </c>
      <c r="Q454" t="s">
        <v>26</v>
      </c>
    </row>
    <row r="455" spans="1:17" x14ac:dyDescent="0.35">
      <c r="A455" t="s">
        <v>637</v>
      </c>
      <c r="B455" s="1">
        <v>45982</v>
      </c>
      <c r="C455" s="1">
        <v>45990</v>
      </c>
      <c r="D455" t="s">
        <v>227</v>
      </c>
      <c r="E455" t="s">
        <v>19</v>
      </c>
      <c r="F455" t="s">
        <v>30</v>
      </c>
      <c r="G455" t="s">
        <v>60</v>
      </c>
      <c r="H455" t="s">
        <v>22</v>
      </c>
      <c r="I455" t="s">
        <v>105</v>
      </c>
      <c r="J455" t="s">
        <v>117</v>
      </c>
      <c r="K455">
        <v>8</v>
      </c>
      <c r="L455">
        <v>249</v>
      </c>
      <c r="M455">
        <v>0.1</v>
      </c>
      <c r="N455">
        <v>1792.8</v>
      </c>
      <c r="O455">
        <v>211.55</v>
      </c>
      <c r="P455" t="s">
        <v>35</v>
      </c>
      <c r="Q455" t="s">
        <v>36</v>
      </c>
    </row>
    <row r="456" spans="1:17" x14ac:dyDescent="0.35">
      <c r="A456" t="s">
        <v>638</v>
      </c>
      <c r="B456" s="1">
        <v>45984</v>
      </c>
      <c r="C456" s="1">
        <v>45987</v>
      </c>
      <c r="D456" t="s">
        <v>229</v>
      </c>
      <c r="E456" t="s">
        <v>29</v>
      </c>
      <c r="F456" t="s">
        <v>40</v>
      </c>
      <c r="G456" t="s">
        <v>64</v>
      </c>
      <c r="H456" t="s">
        <v>32</v>
      </c>
      <c r="I456" t="s">
        <v>109</v>
      </c>
      <c r="J456" t="s">
        <v>120</v>
      </c>
      <c r="K456">
        <v>3</v>
      </c>
      <c r="L456">
        <v>296</v>
      </c>
      <c r="M456">
        <v>0.15</v>
      </c>
      <c r="N456">
        <v>754.8</v>
      </c>
      <c r="O456">
        <v>148.69999999999999</v>
      </c>
      <c r="P456" t="s">
        <v>45</v>
      </c>
      <c r="Q456" t="s">
        <v>46</v>
      </c>
    </row>
    <row r="457" spans="1:17" x14ac:dyDescent="0.35">
      <c r="A457" t="s">
        <v>639</v>
      </c>
      <c r="B457" s="1">
        <v>45985</v>
      </c>
      <c r="C457" s="1">
        <v>45991</v>
      </c>
      <c r="D457" t="s">
        <v>231</v>
      </c>
      <c r="E457" t="s">
        <v>39</v>
      </c>
      <c r="F457" t="s">
        <v>49</v>
      </c>
      <c r="G457" t="s">
        <v>68</v>
      </c>
      <c r="H457" t="s">
        <v>42</v>
      </c>
      <c r="I457" t="s">
        <v>113</v>
      </c>
      <c r="J457" t="s">
        <v>123</v>
      </c>
      <c r="K457">
        <v>6</v>
      </c>
      <c r="L457">
        <v>343</v>
      </c>
      <c r="M457">
        <v>0.2</v>
      </c>
      <c r="N457">
        <v>1646.4</v>
      </c>
      <c r="O457">
        <v>207.45</v>
      </c>
      <c r="P457" t="s">
        <v>52</v>
      </c>
      <c r="Q457" t="s">
        <v>53</v>
      </c>
    </row>
    <row r="458" spans="1:17" x14ac:dyDescent="0.35">
      <c r="A458" t="s">
        <v>640</v>
      </c>
      <c r="B458" s="1">
        <v>45987</v>
      </c>
      <c r="C458" s="1">
        <v>45988</v>
      </c>
      <c r="D458" t="s">
        <v>233</v>
      </c>
      <c r="E458" t="s">
        <v>19</v>
      </c>
      <c r="F458" t="s">
        <v>20</v>
      </c>
      <c r="G458" t="s">
        <v>21</v>
      </c>
      <c r="H458" t="s">
        <v>22</v>
      </c>
      <c r="I458" t="s">
        <v>105</v>
      </c>
      <c r="J458" t="s">
        <v>126</v>
      </c>
      <c r="K458">
        <v>1</v>
      </c>
      <c r="L458">
        <v>390</v>
      </c>
      <c r="M458">
        <v>0</v>
      </c>
      <c r="N458">
        <v>390</v>
      </c>
      <c r="O458">
        <v>-39</v>
      </c>
      <c r="P458" t="s">
        <v>25</v>
      </c>
      <c r="Q458" t="s">
        <v>26</v>
      </c>
    </row>
    <row r="459" spans="1:17" x14ac:dyDescent="0.35">
      <c r="A459" t="s">
        <v>641</v>
      </c>
      <c r="B459" s="1">
        <v>45988</v>
      </c>
      <c r="C459" s="1">
        <v>45992</v>
      </c>
      <c r="D459" t="s">
        <v>235</v>
      </c>
      <c r="E459" t="s">
        <v>29</v>
      </c>
      <c r="F459" t="s">
        <v>30</v>
      </c>
      <c r="G459" t="s">
        <v>31</v>
      </c>
      <c r="H459" t="s">
        <v>32</v>
      </c>
      <c r="I459" t="s">
        <v>109</v>
      </c>
      <c r="J459" t="s">
        <v>129</v>
      </c>
      <c r="K459">
        <v>4</v>
      </c>
      <c r="L459">
        <v>437</v>
      </c>
      <c r="M459">
        <v>0</v>
      </c>
      <c r="N459">
        <v>1748</v>
      </c>
      <c r="O459">
        <v>506.92</v>
      </c>
      <c r="P459" t="s">
        <v>35</v>
      </c>
      <c r="Q459" t="s">
        <v>36</v>
      </c>
    </row>
    <row r="460" spans="1:17" x14ac:dyDescent="0.35">
      <c r="A460" t="s">
        <v>642</v>
      </c>
      <c r="B460" s="1">
        <v>45990</v>
      </c>
      <c r="C460" s="1">
        <v>45997</v>
      </c>
      <c r="D460" t="s">
        <v>237</v>
      </c>
      <c r="E460" t="s">
        <v>39</v>
      </c>
      <c r="F460" t="s">
        <v>40</v>
      </c>
      <c r="G460" t="s">
        <v>41</v>
      </c>
      <c r="H460" t="s">
        <v>42</v>
      </c>
      <c r="I460" t="s">
        <v>113</v>
      </c>
      <c r="J460" t="s">
        <v>132</v>
      </c>
      <c r="K460">
        <v>7</v>
      </c>
      <c r="L460">
        <v>484</v>
      </c>
      <c r="M460">
        <v>0.05</v>
      </c>
      <c r="N460">
        <v>3218.6</v>
      </c>
      <c r="O460">
        <v>704.87</v>
      </c>
      <c r="P460" t="s">
        <v>45</v>
      </c>
      <c r="Q460" t="s">
        <v>46</v>
      </c>
    </row>
    <row r="461" spans="1:17" x14ac:dyDescent="0.35">
      <c r="A461" t="s">
        <v>643</v>
      </c>
      <c r="B461" s="1">
        <v>45991</v>
      </c>
      <c r="C461" s="1">
        <v>45993</v>
      </c>
      <c r="D461" t="s">
        <v>239</v>
      </c>
      <c r="E461" t="s">
        <v>19</v>
      </c>
      <c r="F461" t="s">
        <v>49</v>
      </c>
      <c r="G461" t="s">
        <v>50</v>
      </c>
      <c r="H461" t="s">
        <v>22</v>
      </c>
      <c r="I461" t="s">
        <v>23</v>
      </c>
      <c r="J461" t="s">
        <v>51</v>
      </c>
      <c r="K461">
        <v>2</v>
      </c>
      <c r="L461">
        <v>531</v>
      </c>
      <c r="M461">
        <v>0.1</v>
      </c>
      <c r="N461">
        <v>955.8</v>
      </c>
      <c r="O461">
        <v>112.78</v>
      </c>
      <c r="P461" t="s">
        <v>52</v>
      </c>
      <c r="Q461" t="s">
        <v>53</v>
      </c>
    </row>
    <row r="462" spans="1:17" x14ac:dyDescent="0.35">
      <c r="A462" t="s">
        <v>644</v>
      </c>
      <c r="B462" s="1">
        <v>45993</v>
      </c>
      <c r="C462" s="1">
        <v>45998</v>
      </c>
      <c r="D462" t="s">
        <v>241</v>
      </c>
      <c r="E462" t="s">
        <v>29</v>
      </c>
      <c r="F462" t="s">
        <v>20</v>
      </c>
      <c r="G462" t="s">
        <v>56</v>
      </c>
      <c r="H462" t="s">
        <v>32</v>
      </c>
      <c r="I462" t="s">
        <v>33</v>
      </c>
      <c r="J462" t="s">
        <v>57</v>
      </c>
      <c r="K462">
        <v>5</v>
      </c>
      <c r="L462">
        <v>578</v>
      </c>
      <c r="M462">
        <v>0.15</v>
      </c>
      <c r="N462">
        <v>2456.5</v>
      </c>
      <c r="O462">
        <v>483.93</v>
      </c>
      <c r="P462" t="s">
        <v>25</v>
      </c>
      <c r="Q462" t="s">
        <v>26</v>
      </c>
    </row>
    <row r="463" spans="1:17" x14ac:dyDescent="0.35">
      <c r="A463" t="s">
        <v>645</v>
      </c>
      <c r="B463" s="1">
        <v>45994</v>
      </c>
      <c r="C463" s="1">
        <v>46002</v>
      </c>
      <c r="D463" t="s">
        <v>243</v>
      </c>
      <c r="E463" t="s">
        <v>39</v>
      </c>
      <c r="F463" t="s">
        <v>30</v>
      </c>
      <c r="G463" t="s">
        <v>60</v>
      </c>
      <c r="H463" t="s">
        <v>42</v>
      </c>
      <c r="I463" t="s">
        <v>43</v>
      </c>
      <c r="J463" t="s">
        <v>61</v>
      </c>
      <c r="K463">
        <v>8</v>
      </c>
      <c r="L463">
        <v>625</v>
      </c>
      <c r="M463">
        <v>0.2</v>
      </c>
      <c r="N463">
        <v>4000</v>
      </c>
      <c r="O463">
        <v>504</v>
      </c>
      <c r="P463" t="s">
        <v>35</v>
      </c>
      <c r="Q463" t="s">
        <v>36</v>
      </c>
    </row>
    <row r="464" spans="1:17" x14ac:dyDescent="0.35">
      <c r="A464" t="s">
        <v>646</v>
      </c>
      <c r="B464" s="1">
        <v>45996</v>
      </c>
      <c r="C464" s="1">
        <v>45999</v>
      </c>
      <c r="D464" t="s">
        <v>245</v>
      </c>
      <c r="E464" t="s">
        <v>19</v>
      </c>
      <c r="F464" t="s">
        <v>40</v>
      </c>
      <c r="G464" t="s">
        <v>64</v>
      </c>
      <c r="H464" t="s">
        <v>22</v>
      </c>
      <c r="I464" t="s">
        <v>23</v>
      </c>
      <c r="J464" t="s">
        <v>65</v>
      </c>
      <c r="K464">
        <v>3</v>
      </c>
      <c r="L464">
        <v>672</v>
      </c>
      <c r="M464">
        <v>0</v>
      </c>
      <c r="N464">
        <v>2016</v>
      </c>
      <c r="O464">
        <v>362.88</v>
      </c>
      <c r="P464" t="s">
        <v>45</v>
      </c>
      <c r="Q464" t="s">
        <v>46</v>
      </c>
    </row>
    <row r="465" spans="1:17" x14ac:dyDescent="0.35">
      <c r="A465" t="s">
        <v>647</v>
      </c>
      <c r="B465" s="1">
        <v>45997</v>
      </c>
      <c r="C465" s="1">
        <v>46003</v>
      </c>
      <c r="D465" t="s">
        <v>247</v>
      </c>
      <c r="E465" t="s">
        <v>29</v>
      </c>
      <c r="F465" t="s">
        <v>49</v>
      </c>
      <c r="G465" t="s">
        <v>68</v>
      </c>
      <c r="H465" t="s">
        <v>32</v>
      </c>
      <c r="I465" t="s">
        <v>33</v>
      </c>
      <c r="J465" t="s">
        <v>69</v>
      </c>
      <c r="K465">
        <v>6</v>
      </c>
      <c r="L465">
        <v>719</v>
      </c>
      <c r="M465">
        <v>0</v>
      </c>
      <c r="N465">
        <v>4314</v>
      </c>
      <c r="O465">
        <v>1251.06</v>
      </c>
      <c r="P465" t="s">
        <v>52</v>
      </c>
      <c r="Q465" t="s">
        <v>53</v>
      </c>
    </row>
    <row r="466" spans="1:17" x14ac:dyDescent="0.35">
      <c r="A466" t="s">
        <v>648</v>
      </c>
      <c r="B466" s="1">
        <v>45999</v>
      </c>
      <c r="C466" s="1">
        <v>46000</v>
      </c>
      <c r="D466" t="s">
        <v>249</v>
      </c>
      <c r="E466" t="s">
        <v>39</v>
      </c>
      <c r="F466" t="s">
        <v>20</v>
      </c>
      <c r="G466" t="s">
        <v>21</v>
      </c>
      <c r="H466" t="s">
        <v>42</v>
      </c>
      <c r="I466" t="s">
        <v>43</v>
      </c>
      <c r="J466" t="s">
        <v>72</v>
      </c>
      <c r="K466">
        <v>1</v>
      </c>
      <c r="L466">
        <v>766</v>
      </c>
      <c r="M466">
        <v>0.05</v>
      </c>
      <c r="N466">
        <v>727.7</v>
      </c>
      <c r="O466">
        <v>159.37</v>
      </c>
      <c r="P466" t="s">
        <v>25</v>
      </c>
      <c r="Q466" t="s">
        <v>26</v>
      </c>
    </row>
    <row r="467" spans="1:17" x14ac:dyDescent="0.35">
      <c r="A467" t="s">
        <v>649</v>
      </c>
      <c r="B467" s="1">
        <v>46000</v>
      </c>
      <c r="C467" s="1">
        <v>46004</v>
      </c>
      <c r="D467" t="s">
        <v>251</v>
      </c>
      <c r="E467" t="s">
        <v>19</v>
      </c>
      <c r="F467" t="s">
        <v>30</v>
      </c>
      <c r="G467" t="s">
        <v>31</v>
      </c>
      <c r="H467" t="s">
        <v>22</v>
      </c>
      <c r="I467" t="s">
        <v>23</v>
      </c>
      <c r="J467" t="s">
        <v>147</v>
      </c>
      <c r="K467">
        <v>4</v>
      </c>
      <c r="L467">
        <v>33</v>
      </c>
      <c r="M467">
        <v>0.1</v>
      </c>
      <c r="N467">
        <v>118.8</v>
      </c>
      <c r="O467">
        <v>14.02</v>
      </c>
      <c r="P467" t="s">
        <v>35</v>
      </c>
      <c r="Q467" t="s">
        <v>36</v>
      </c>
    </row>
    <row r="468" spans="1:17" x14ac:dyDescent="0.35">
      <c r="A468" t="s">
        <v>650</v>
      </c>
      <c r="B468" s="1">
        <v>46002</v>
      </c>
      <c r="C468" s="1">
        <v>46009</v>
      </c>
      <c r="D468" t="s">
        <v>253</v>
      </c>
      <c r="E468" t="s">
        <v>29</v>
      </c>
      <c r="F468" t="s">
        <v>40</v>
      </c>
      <c r="G468" t="s">
        <v>41</v>
      </c>
      <c r="H468" t="s">
        <v>32</v>
      </c>
      <c r="I468" t="s">
        <v>33</v>
      </c>
      <c r="J468" t="s">
        <v>150</v>
      </c>
      <c r="K468">
        <v>7</v>
      </c>
      <c r="L468">
        <v>80</v>
      </c>
      <c r="M468">
        <v>0.15</v>
      </c>
      <c r="N468">
        <v>476</v>
      </c>
      <c r="O468">
        <v>93.77</v>
      </c>
      <c r="P468" t="s">
        <v>45</v>
      </c>
      <c r="Q468" t="s">
        <v>46</v>
      </c>
    </row>
    <row r="469" spans="1:17" x14ac:dyDescent="0.35">
      <c r="A469" t="s">
        <v>651</v>
      </c>
      <c r="B469" s="1">
        <v>46003</v>
      </c>
      <c r="C469" s="1">
        <v>46005</v>
      </c>
      <c r="D469" t="s">
        <v>255</v>
      </c>
      <c r="E469" t="s">
        <v>39</v>
      </c>
      <c r="F469" t="s">
        <v>49</v>
      </c>
      <c r="G469" t="s">
        <v>50</v>
      </c>
      <c r="H469" t="s">
        <v>42</v>
      </c>
      <c r="I469" t="s">
        <v>43</v>
      </c>
      <c r="J469" t="s">
        <v>153</v>
      </c>
      <c r="K469">
        <v>2</v>
      </c>
      <c r="L469">
        <v>127</v>
      </c>
      <c r="M469">
        <v>0.2</v>
      </c>
      <c r="N469">
        <v>203.2</v>
      </c>
      <c r="O469">
        <v>25.6</v>
      </c>
      <c r="P469" t="s">
        <v>52</v>
      </c>
      <c r="Q469" t="s">
        <v>53</v>
      </c>
    </row>
    <row r="470" spans="1:17" x14ac:dyDescent="0.35">
      <c r="A470" t="s">
        <v>652</v>
      </c>
      <c r="B470" s="1">
        <v>46005</v>
      </c>
      <c r="C470" s="1">
        <v>46010</v>
      </c>
      <c r="D470" t="s">
        <v>257</v>
      </c>
      <c r="E470" t="s">
        <v>19</v>
      </c>
      <c r="F470" t="s">
        <v>20</v>
      </c>
      <c r="G470" t="s">
        <v>56</v>
      </c>
      <c r="H470" t="s">
        <v>22</v>
      </c>
      <c r="I470" t="s">
        <v>75</v>
      </c>
      <c r="J470" t="s">
        <v>87</v>
      </c>
      <c r="K470">
        <v>5</v>
      </c>
      <c r="L470">
        <v>174</v>
      </c>
      <c r="M470">
        <v>0</v>
      </c>
      <c r="N470">
        <v>870</v>
      </c>
      <c r="O470">
        <v>156.6</v>
      </c>
      <c r="P470" t="s">
        <v>25</v>
      </c>
      <c r="Q470" t="s">
        <v>26</v>
      </c>
    </row>
    <row r="471" spans="1:17" x14ac:dyDescent="0.35">
      <c r="A471" t="s">
        <v>653</v>
      </c>
      <c r="B471" s="1">
        <v>46006</v>
      </c>
      <c r="C471" s="1">
        <v>46014</v>
      </c>
      <c r="D471" t="s">
        <v>259</v>
      </c>
      <c r="E471" t="s">
        <v>29</v>
      </c>
      <c r="F471" t="s">
        <v>30</v>
      </c>
      <c r="G471" t="s">
        <v>60</v>
      </c>
      <c r="H471" t="s">
        <v>32</v>
      </c>
      <c r="I471" t="s">
        <v>79</v>
      </c>
      <c r="J471" t="s">
        <v>90</v>
      </c>
      <c r="K471">
        <v>8</v>
      </c>
      <c r="L471">
        <v>221</v>
      </c>
      <c r="M471">
        <v>0</v>
      </c>
      <c r="N471">
        <v>1768</v>
      </c>
      <c r="O471">
        <v>512.72</v>
      </c>
      <c r="P471" t="s">
        <v>35</v>
      </c>
      <c r="Q471" t="s">
        <v>36</v>
      </c>
    </row>
    <row r="472" spans="1:17" x14ac:dyDescent="0.35">
      <c r="A472" t="s">
        <v>654</v>
      </c>
      <c r="B472" s="1">
        <v>46008</v>
      </c>
      <c r="C472" s="1">
        <v>46011</v>
      </c>
      <c r="D472" t="s">
        <v>261</v>
      </c>
      <c r="E472" t="s">
        <v>39</v>
      </c>
      <c r="F472" t="s">
        <v>40</v>
      </c>
      <c r="G472" t="s">
        <v>64</v>
      </c>
      <c r="H472" t="s">
        <v>42</v>
      </c>
      <c r="I472" t="s">
        <v>83</v>
      </c>
      <c r="J472" t="s">
        <v>93</v>
      </c>
      <c r="K472">
        <v>3</v>
      </c>
      <c r="L472">
        <v>268</v>
      </c>
      <c r="M472">
        <v>0.05</v>
      </c>
      <c r="N472">
        <v>763.8</v>
      </c>
      <c r="O472">
        <v>167.27</v>
      </c>
      <c r="P472" t="s">
        <v>45</v>
      </c>
      <c r="Q472" t="s">
        <v>46</v>
      </c>
    </row>
    <row r="473" spans="1:17" x14ac:dyDescent="0.35">
      <c r="A473" t="s">
        <v>655</v>
      </c>
      <c r="B473" s="1">
        <v>46009</v>
      </c>
      <c r="C473" s="1">
        <v>46015</v>
      </c>
      <c r="D473" t="s">
        <v>263</v>
      </c>
      <c r="E473" t="s">
        <v>19</v>
      </c>
      <c r="F473" t="s">
        <v>49</v>
      </c>
      <c r="G473" t="s">
        <v>68</v>
      </c>
      <c r="H473" t="s">
        <v>22</v>
      </c>
      <c r="I473" t="s">
        <v>75</v>
      </c>
      <c r="J473" t="s">
        <v>96</v>
      </c>
      <c r="K473">
        <v>6</v>
      </c>
      <c r="L473">
        <v>315</v>
      </c>
      <c r="M473">
        <v>0.1</v>
      </c>
      <c r="N473">
        <v>1701</v>
      </c>
      <c r="O473">
        <v>200.72</v>
      </c>
      <c r="P473" t="s">
        <v>52</v>
      </c>
      <c r="Q473" t="s">
        <v>53</v>
      </c>
    </row>
    <row r="474" spans="1:17" x14ac:dyDescent="0.35">
      <c r="A474" t="s">
        <v>656</v>
      </c>
      <c r="B474" s="1">
        <v>46011</v>
      </c>
      <c r="C474" s="1">
        <v>46012</v>
      </c>
      <c r="D474" t="s">
        <v>265</v>
      </c>
      <c r="E474" t="s">
        <v>29</v>
      </c>
      <c r="F474" t="s">
        <v>20</v>
      </c>
      <c r="G474" t="s">
        <v>21</v>
      </c>
      <c r="H474" t="s">
        <v>32</v>
      </c>
      <c r="I474" t="s">
        <v>79</v>
      </c>
      <c r="J474" t="s">
        <v>99</v>
      </c>
      <c r="K474">
        <v>1</v>
      </c>
      <c r="L474">
        <v>362</v>
      </c>
      <c r="M474">
        <v>0.15</v>
      </c>
      <c r="N474">
        <v>307.7</v>
      </c>
      <c r="O474">
        <v>60.62</v>
      </c>
      <c r="P474" t="s">
        <v>25</v>
      </c>
      <c r="Q474" t="s">
        <v>26</v>
      </c>
    </row>
    <row r="475" spans="1:17" x14ac:dyDescent="0.35">
      <c r="A475" t="s">
        <v>657</v>
      </c>
      <c r="B475" s="1">
        <v>46012</v>
      </c>
      <c r="C475" s="1">
        <v>46016</v>
      </c>
      <c r="D475" t="s">
        <v>267</v>
      </c>
      <c r="E475" t="s">
        <v>39</v>
      </c>
      <c r="F475" t="s">
        <v>30</v>
      </c>
      <c r="G475" t="s">
        <v>31</v>
      </c>
      <c r="H475" t="s">
        <v>42</v>
      </c>
      <c r="I475" t="s">
        <v>83</v>
      </c>
      <c r="J475" t="s">
        <v>102</v>
      </c>
      <c r="K475">
        <v>4</v>
      </c>
      <c r="L475">
        <v>409</v>
      </c>
      <c r="M475">
        <v>0.2</v>
      </c>
      <c r="N475">
        <v>1308.8</v>
      </c>
      <c r="O475">
        <v>164.91</v>
      </c>
      <c r="P475" t="s">
        <v>35</v>
      </c>
      <c r="Q475" t="s">
        <v>36</v>
      </c>
    </row>
    <row r="476" spans="1:17" x14ac:dyDescent="0.35">
      <c r="A476" t="s">
        <v>658</v>
      </c>
      <c r="B476" s="1">
        <v>46014</v>
      </c>
      <c r="C476" s="1">
        <v>46021</v>
      </c>
      <c r="D476" t="s">
        <v>269</v>
      </c>
      <c r="E476" t="s">
        <v>19</v>
      </c>
      <c r="F476" t="s">
        <v>40</v>
      </c>
      <c r="G476" t="s">
        <v>41</v>
      </c>
      <c r="H476" t="s">
        <v>22</v>
      </c>
      <c r="I476" t="s">
        <v>75</v>
      </c>
      <c r="J476" t="s">
        <v>168</v>
      </c>
      <c r="K476">
        <v>7</v>
      </c>
      <c r="L476">
        <v>456</v>
      </c>
      <c r="M476">
        <v>0</v>
      </c>
      <c r="N476">
        <v>3192</v>
      </c>
      <c r="O476">
        <v>574.55999999999995</v>
      </c>
      <c r="P476" t="s">
        <v>45</v>
      </c>
      <c r="Q476" t="s">
        <v>46</v>
      </c>
    </row>
    <row r="477" spans="1:17" x14ac:dyDescent="0.35">
      <c r="A477" t="s">
        <v>659</v>
      </c>
      <c r="B477" s="1">
        <v>46015</v>
      </c>
      <c r="C477" s="1">
        <v>46017</v>
      </c>
      <c r="D477" t="s">
        <v>271</v>
      </c>
      <c r="E477" t="s">
        <v>29</v>
      </c>
      <c r="F477" t="s">
        <v>49</v>
      </c>
      <c r="G477" t="s">
        <v>50</v>
      </c>
      <c r="H477" t="s">
        <v>32</v>
      </c>
      <c r="I477" t="s">
        <v>79</v>
      </c>
      <c r="J477" t="s">
        <v>171</v>
      </c>
      <c r="K477">
        <v>2</v>
      </c>
      <c r="L477">
        <v>503</v>
      </c>
      <c r="M477">
        <v>0</v>
      </c>
      <c r="N477">
        <v>1006</v>
      </c>
      <c r="O477">
        <v>10.06</v>
      </c>
      <c r="P477" t="s">
        <v>52</v>
      </c>
      <c r="Q477" t="s">
        <v>53</v>
      </c>
    </row>
    <row r="478" spans="1:17" x14ac:dyDescent="0.35">
      <c r="A478" t="s">
        <v>660</v>
      </c>
      <c r="B478" s="1">
        <v>46017</v>
      </c>
      <c r="C478" s="1">
        <v>46022</v>
      </c>
      <c r="D478" t="s">
        <v>273</v>
      </c>
      <c r="E478" t="s">
        <v>39</v>
      </c>
      <c r="F478" t="s">
        <v>20</v>
      </c>
      <c r="G478" t="s">
        <v>56</v>
      </c>
      <c r="H478" t="s">
        <v>42</v>
      </c>
      <c r="I478" t="s">
        <v>83</v>
      </c>
      <c r="J478" t="s">
        <v>174</v>
      </c>
      <c r="K478">
        <v>5</v>
      </c>
      <c r="L478">
        <v>550</v>
      </c>
      <c r="M478">
        <v>0.05</v>
      </c>
      <c r="N478">
        <v>2612.5</v>
      </c>
      <c r="O478">
        <v>572.14</v>
      </c>
      <c r="P478" t="s">
        <v>25</v>
      </c>
      <c r="Q478" t="s">
        <v>26</v>
      </c>
    </row>
    <row r="479" spans="1:17" x14ac:dyDescent="0.35">
      <c r="A479" t="s">
        <v>661</v>
      </c>
      <c r="B479" s="1">
        <v>46018</v>
      </c>
      <c r="C479" s="1">
        <v>46026</v>
      </c>
      <c r="D479" t="s">
        <v>275</v>
      </c>
      <c r="E479" t="s">
        <v>19</v>
      </c>
      <c r="F479" t="s">
        <v>30</v>
      </c>
      <c r="G479" t="s">
        <v>60</v>
      </c>
      <c r="H479" t="s">
        <v>22</v>
      </c>
      <c r="I479" t="s">
        <v>105</v>
      </c>
      <c r="J479" t="s">
        <v>117</v>
      </c>
      <c r="K479">
        <v>8</v>
      </c>
      <c r="L479">
        <v>597</v>
      </c>
      <c r="M479">
        <v>0.1</v>
      </c>
      <c r="N479">
        <v>4298.3999999999996</v>
      </c>
      <c r="O479">
        <v>507.21</v>
      </c>
      <c r="P479" t="s">
        <v>35</v>
      </c>
      <c r="Q479" t="s">
        <v>36</v>
      </c>
    </row>
    <row r="480" spans="1:17" x14ac:dyDescent="0.35">
      <c r="A480" t="s">
        <v>662</v>
      </c>
      <c r="B480" s="1">
        <v>46020</v>
      </c>
      <c r="C480" s="1">
        <v>46023</v>
      </c>
      <c r="D480" t="s">
        <v>277</v>
      </c>
      <c r="E480" t="s">
        <v>29</v>
      </c>
      <c r="F480" t="s">
        <v>40</v>
      </c>
      <c r="G480" t="s">
        <v>64</v>
      </c>
      <c r="H480" t="s">
        <v>32</v>
      </c>
      <c r="I480" t="s">
        <v>109</v>
      </c>
      <c r="J480" t="s">
        <v>120</v>
      </c>
      <c r="K480">
        <v>3</v>
      </c>
      <c r="L480">
        <v>644</v>
      </c>
      <c r="M480">
        <v>0.15</v>
      </c>
      <c r="N480">
        <v>1642.2</v>
      </c>
      <c r="O480">
        <v>323.51</v>
      </c>
      <c r="P480" t="s">
        <v>45</v>
      </c>
      <c r="Q480" t="s">
        <v>46</v>
      </c>
    </row>
    <row r="481" spans="1:17" x14ac:dyDescent="0.35">
      <c r="A481" t="s">
        <v>663</v>
      </c>
      <c r="B481" s="1">
        <v>46022</v>
      </c>
      <c r="C481" s="1">
        <v>46028</v>
      </c>
      <c r="D481" t="s">
        <v>279</v>
      </c>
      <c r="E481" t="s">
        <v>39</v>
      </c>
      <c r="F481" t="s">
        <v>49</v>
      </c>
      <c r="G481" t="s">
        <v>68</v>
      </c>
      <c r="H481" t="s">
        <v>42</v>
      </c>
      <c r="I481" t="s">
        <v>113</v>
      </c>
      <c r="J481" t="s">
        <v>123</v>
      </c>
      <c r="K481">
        <v>6</v>
      </c>
      <c r="L481">
        <v>691</v>
      </c>
      <c r="M481">
        <v>0.2</v>
      </c>
      <c r="N481">
        <v>3316.8</v>
      </c>
      <c r="O481">
        <v>417.92</v>
      </c>
      <c r="P481" t="s">
        <v>52</v>
      </c>
      <c r="Q481" t="s">
        <v>53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1"/>
  <sheetViews>
    <sheetView zoomScale="205" zoomScaleNormal="205" workbookViewId="0">
      <selection activeCell="E12" sqref="E12"/>
    </sheetView>
  </sheetViews>
  <sheetFormatPr defaultRowHeight="14.5" x14ac:dyDescent="0.35"/>
  <cols>
    <col min="2" max="2" width="16.7265625" bestFit="1" customWidth="1"/>
  </cols>
  <sheetData>
    <row r="1" spans="1:3" x14ac:dyDescent="0.35">
      <c r="A1" t="s">
        <v>665</v>
      </c>
      <c r="B1" t="s">
        <v>666</v>
      </c>
      <c r="C1" t="s">
        <v>667</v>
      </c>
    </row>
    <row r="3" spans="1:3" x14ac:dyDescent="0.35">
      <c r="A3" t="s">
        <v>664</v>
      </c>
      <c r="B3" t="s">
        <v>668</v>
      </c>
      <c r="C3">
        <f>SUM(SuperstoreTable[Sales])</f>
        <v>801546.00000000012</v>
      </c>
    </row>
    <row r="4" spans="1:3" x14ac:dyDescent="0.35">
      <c r="A4" t="s">
        <v>669</v>
      </c>
      <c r="B4" t="s">
        <v>670</v>
      </c>
      <c r="C4">
        <f>AVERAGE(SuperstoreTable[Sales])</f>
        <v>1669.8875000000003</v>
      </c>
    </row>
    <row r="5" spans="1:3" x14ac:dyDescent="0.35">
      <c r="A5" t="s">
        <v>671</v>
      </c>
      <c r="B5" t="s">
        <v>672</v>
      </c>
      <c r="C5">
        <f>COUNTIF(SuperstoreTable[Profit],"&gt;0")</f>
        <v>459</v>
      </c>
    </row>
    <row r="6" spans="1:3" x14ac:dyDescent="0.35">
      <c r="A6" t="s">
        <v>673</v>
      </c>
      <c r="B6" t="s">
        <v>674</v>
      </c>
      <c r="C6">
        <f>SUMIF(SuperstoreTable[Category],"Technology",SuperstoreTable[Sales])</f>
        <v>254310</v>
      </c>
    </row>
    <row r="7" spans="1:3" x14ac:dyDescent="0.35">
      <c r="A7" t="s">
        <v>675</v>
      </c>
      <c r="B7" t="s">
        <v>676</v>
      </c>
      <c r="C7">
        <f>SUMIFS(SuperstoreTable[Sales],SuperstoreTable[Region],"North",SuperstoreTable[Category],"Technology")</f>
        <v>80448.000000000015</v>
      </c>
    </row>
    <row r="8" spans="1:3" x14ac:dyDescent="0.35">
      <c r="A8" t="s">
        <v>677</v>
      </c>
      <c r="B8" t="s">
        <v>678</v>
      </c>
      <c r="C8" t="str">
        <f>IF(SUM(SuperstoreTable[Profit])&gt;0,"Profit","Loss")</f>
        <v>Profit</v>
      </c>
    </row>
    <row r="9" spans="1:3" x14ac:dyDescent="0.35">
      <c r="A9" t="s">
        <v>680</v>
      </c>
      <c r="B9" t="s">
        <v>679</v>
      </c>
      <c r="C9" t="str">
        <f>INDEX(SuperstoreTable[Regional Manager],MATCH("North",SuperstoreTable[Region],0))</f>
        <v>Noah Brown</v>
      </c>
    </row>
    <row r="10" spans="1:3" x14ac:dyDescent="0.35">
      <c r="A10" t="s">
        <v>681</v>
      </c>
      <c r="B10" t="s">
        <v>682</v>
      </c>
      <c r="C10" t="str">
        <f>TEXT(Raw_Data!B2,"mmmm")</f>
        <v>January</v>
      </c>
    </row>
    <row r="11" spans="1:3" x14ac:dyDescent="0.35">
      <c r="A11" t="s">
        <v>683</v>
      </c>
      <c r="B11" t="s">
        <v>684</v>
      </c>
      <c r="C11">
        <f>ROUND(Raw_Data!N2,0)</f>
        <v>18</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8BB41-968C-4CEE-AB12-6729AE13173E}">
  <dimension ref="A1:R30"/>
  <sheetViews>
    <sheetView workbookViewId="0">
      <selection activeCell="H29" activeCellId="1" sqref="B3 H29"/>
    </sheetView>
  </sheetViews>
  <sheetFormatPr defaultRowHeight="14.5" x14ac:dyDescent="0.35"/>
  <cols>
    <col min="1" max="1" width="12.6328125" bestFit="1" customWidth="1"/>
    <col min="2" max="2" width="11.54296875" bestFit="1" customWidth="1"/>
    <col min="5" max="5" width="13.90625" bestFit="1" customWidth="1"/>
    <col min="6" max="6" width="12" bestFit="1" customWidth="1"/>
    <col min="9" max="9" width="12.6328125" bestFit="1" customWidth="1"/>
    <col min="10" max="10" width="11.54296875" bestFit="1" customWidth="1"/>
    <col min="13" max="13" width="12.6328125" bestFit="1" customWidth="1"/>
    <col min="14" max="14" width="11.54296875" bestFit="1" customWidth="1"/>
    <col min="17" max="17" width="12.6328125" bestFit="1" customWidth="1"/>
    <col min="18" max="18" width="12" bestFit="1" customWidth="1"/>
  </cols>
  <sheetData>
    <row r="1" spans="1:18" x14ac:dyDescent="0.35">
      <c r="A1" t="s">
        <v>688</v>
      </c>
      <c r="E1" t="s">
        <v>689</v>
      </c>
      <c r="I1" t="s">
        <v>691</v>
      </c>
      <c r="M1" t="s">
        <v>692</v>
      </c>
      <c r="Q1" t="s">
        <v>707</v>
      </c>
    </row>
    <row r="3" spans="1:18" x14ac:dyDescent="0.35">
      <c r="A3" s="5" t="s">
        <v>685</v>
      </c>
      <c r="B3" t="s">
        <v>687</v>
      </c>
      <c r="E3" s="5" t="s">
        <v>685</v>
      </c>
      <c r="F3" t="s">
        <v>690</v>
      </c>
      <c r="I3" s="5" t="s">
        <v>685</v>
      </c>
      <c r="J3" t="s">
        <v>687</v>
      </c>
      <c r="M3" s="5" t="s">
        <v>685</v>
      </c>
      <c r="N3" t="s">
        <v>687</v>
      </c>
      <c r="Q3" s="5" t="s">
        <v>685</v>
      </c>
      <c r="R3" t="s">
        <v>690</v>
      </c>
    </row>
    <row r="4" spans="1:18" x14ac:dyDescent="0.35">
      <c r="A4" s="6" t="s">
        <v>30</v>
      </c>
      <c r="B4" s="7">
        <v>262248</v>
      </c>
      <c r="E4" s="6" t="s">
        <v>32</v>
      </c>
      <c r="F4" s="7">
        <v>64253.909999999967</v>
      </c>
      <c r="I4" s="6" t="s">
        <v>19</v>
      </c>
      <c r="J4" s="7">
        <v>279144.00000000006</v>
      </c>
      <c r="M4" s="6" t="s">
        <v>693</v>
      </c>
      <c r="N4" s="7">
        <v>395625.00000000006</v>
      </c>
      <c r="Q4" s="6" t="s">
        <v>23</v>
      </c>
      <c r="R4" s="7">
        <v>11776.27</v>
      </c>
    </row>
    <row r="5" spans="1:18" x14ac:dyDescent="0.35">
      <c r="A5" s="6" t="s">
        <v>40</v>
      </c>
      <c r="B5" s="7">
        <v>225908</v>
      </c>
      <c r="E5" s="6" t="s">
        <v>42</v>
      </c>
      <c r="F5" s="7">
        <v>40156.259999999995</v>
      </c>
      <c r="I5" s="6" t="s">
        <v>29</v>
      </c>
      <c r="J5" s="7">
        <v>268092</v>
      </c>
      <c r="M5" s="8" t="s">
        <v>694</v>
      </c>
      <c r="N5" s="7">
        <v>27902.9</v>
      </c>
      <c r="Q5" s="6" t="s">
        <v>105</v>
      </c>
      <c r="R5" s="7">
        <v>12542.899999999996</v>
      </c>
    </row>
    <row r="6" spans="1:18" x14ac:dyDescent="0.35">
      <c r="A6" s="6" t="s">
        <v>49</v>
      </c>
      <c r="B6" s="7">
        <v>177195.99999999997</v>
      </c>
      <c r="E6" s="6" t="s">
        <v>22</v>
      </c>
      <c r="F6" s="7">
        <v>37589.040000000001</v>
      </c>
      <c r="I6" s="6" t="s">
        <v>39</v>
      </c>
      <c r="J6" s="7">
        <v>254310</v>
      </c>
      <c r="M6" s="8" t="s">
        <v>695</v>
      </c>
      <c r="N6" s="7">
        <v>30059.500000000004</v>
      </c>
      <c r="Q6" s="6" t="s">
        <v>43</v>
      </c>
      <c r="R6" s="7">
        <v>12570.549999999997</v>
      </c>
    </row>
    <row r="7" spans="1:18" x14ac:dyDescent="0.35">
      <c r="A7" s="6" t="s">
        <v>20</v>
      </c>
      <c r="B7" s="7">
        <v>136194.00000000003</v>
      </c>
      <c r="E7" s="6" t="s">
        <v>686</v>
      </c>
      <c r="F7" s="7">
        <v>141999.20999999996</v>
      </c>
      <c r="I7" s="6" t="s">
        <v>686</v>
      </c>
      <c r="J7" s="7">
        <v>801546</v>
      </c>
      <c r="M7" s="8" t="s">
        <v>696</v>
      </c>
      <c r="N7" s="7">
        <v>30368.2</v>
      </c>
      <c r="Q7" s="6" t="s">
        <v>113</v>
      </c>
      <c r="R7" s="7">
        <v>12863.249999999996</v>
      </c>
    </row>
    <row r="8" spans="1:18" x14ac:dyDescent="0.35">
      <c r="A8" s="6" t="s">
        <v>686</v>
      </c>
      <c r="B8" s="7">
        <v>801546</v>
      </c>
      <c r="M8" s="8" t="s">
        <v>697</v>
      </c>
      <c r="N8" s="7">
        <v>36119.30000000001</v>
      </c>
      <c r="Q8" s="6" t="s">
        <v>75</v>
      </c>
      <c r="R8" s="7">
        <v>13269.869999999999</v>
      </c>
    </row>
    <row r="9" spans="1:18" x14ac:dyDescent="0.35">
      <c r="M9" s="8" t="s">
        <v>698</v>
      </c>
      <c r="N9" s="7">
        <v>36484.9</v>
      </c>
      <c r="Q9" s="6" t="s">
        <v>83</v>
      </c>
      <c r="R9" s="7">
        <v>14722.460000000005</v>
      </c>
    </row>
    <row r="10" spans="1:18" x14ac:dyDescent="0.35">
      <c r="M10" s="8" t="s">
        <v>699</v>
      </c>
      <c r="N10" s="7">
        <v>30829.4</v>
      </c>
      <c r="Q10" s="6" t="s">
        <v>109</v>
      </c>
      <c r="R10" s="7">
        <v>20964.439999999999</v>
      </c>
    </row>
    <row r="11" spans="1:18" x14ac:dyDescent="0.35">
      <c r="M11" s="8" t="s">
        <v>700</v>
      </c>
      <c r="N11" s="7">
        <v>28977.7</v>
      </c>
      <c r="Q11" s="6" t="s">
        <v>33</v>
      </c>
      <c r="R11" s="7">
        <v>21377.260000000002</v>
      </c>
    </row>
    <row r="12" spans="1:18" x14ac:dyDescent="0.35">
      <c r="M12" s="8" t="s">
        <v>701</v>
      </c>
      <c r="N12" s="7">
        <v>37118.9</v>
      </c>
      <c r="Q12" s="6" t="s">
        <v>79</v>
      </c>
      <c r="R12" s="7">
        <v>21912.21</v>
      </c>
    </row>
    <row r="13" spans="1:18" x14ac:dyDescent="0.35">
      <c r="M13" s="8" t="s">
        <v>702</v>
      </c>
      <c r="N13" s="7">
        <v>32834.800000000003</v>
      </c>
      <c r="Q13" s="6" t="s">
        <v>686</v>
      </c>
      <c r="R13" s="7">
        <v>141999.21</v>
      </c>
    </row>
    <row r="14" spans="1:18" x14ac:dyDescent="0.35">
      <c r="M14" s="8" t="s">
        <v>703</v>
      </c>
      <c r="N14" s="7">
        <v>42848.3</v>
      </c>
    </row>
    <row r="15" spans="1:18" x14ac:dyDescent="0.35">
      <c r="M15" s="8" t="s">
        <v>704</v>
      </c>
      <c r="N15" s="7">
        <v>29772.7</v>
      </c>
    </row>
    <row r="16" spans="1:18" x14ac:dyDescent="0.35">
      <c r="M16" s="8" t="s">
        <v>705</v>
      </c>
      <c r="N16" s="7">
        <v>32308.400000000001</v>
      </c>
    </row>
    <row r="17" spans="13:14" x14ac:dyDescent="0.35">
      <c r="M17" s="6" t="s">
        <v>706</v>
      </c>
      <c r="N17" s="7">
        <v>405921.00000000006</v>
      </c>
    </row>
    <row r="18" spans="13:14" x14ac:dyDescent="0.35">
      <c r="M18" s="8" t="s">
        <v>694</v>
      </c>
      <c r="N18" s="7">
        <v>30587.899999999998</v>
      </c>
    </row>
    <row r="19" spans="13:14" x14ac:dyDescent="0.35">
      <c r="M19" s="8" t="s">
        <v>695</v>
      </c>
      <c r="N19" s="7">
        <v>33518.500000000007</v>
      </c>
    </row>
    <row r="20" spans="13:14" x14ac:dyDescent="0.35">
      <c r="M20" s="8" t="s">
        <v>696</v>
      </c>
      <c r="N20" s="7">
        <v>39140.200000000004</v>
      </c>
    </row>
    <row r="21" spans="13:14" x14ac:dyDescent="0.35">
      <c r="M21" s="8" t="s">
        <v>697</v>
      </c>
      <c r="N21" s="7">
        <v>28658.3</v>
      </c>
    </row>
    <row r="22" spans="13:14" x14ac:dyDescent="0.35">
      <c r="M22" s="8" t="s">
        <v>698</v>
      </c>
      <c r="N22" s="7">
        <v>29479.899999999998</v>
      </c>
    </row>
    <row r="23" spans="13:14" x14ac:dyDescent="0.35">
      <c r="M23" s="8" t="s">
        <v>699</v>
      </c>
      <c r="N23" s="7">
        <v>32512.400000000001</v>
      </c>
    </row>
    <row r="24" spans="13:14" x14ac:dyDescent="0.35">
      <c r="M24" s="8" t="s">
        <v>700</v>
      </c>
      <c r="N24" s="7">
        <v>38247.699999999997</v>
      </c>
    </row>
    <row r="25" spans="13:14" x14ac:dyDescent="0.35">
      <c r="M25" s="8" t="s">
        <v>701</v>
      </c>
      <c r="N25" s="7">
        <v>39965.900000000009</v>
      </c>
    </row>
    <row r="26" spans="13:14" x14ac:dyDescent="0.35">
      <c r="M26" s="8" t="s">
        <v>702</v>
      </c>
      <c r="N26" s="7">
        <v>28144.400000000001</v>
      </c>
    </row>
    <row r="27" spans="13:14" x14ac:dyDescent="0.35">
      <c r="M27" s="8" t="s">
        <v>703</v>
      </c>
      <c r="N27" s="7">
        <v>34869.700000000004</v>
      </c>
    </row>
    <row r="28" spans="13:14" x14ac:dyDescent="0.35">
      <c r="M28" s="8" t="s">
        <v>704</v>
      </c>
      <c r="N28" s="7">
        <v>33696.700000000004</v>
      </c>
    </row>
    <row r="29" spans="13:14" x14ac:dyDescent="0.35">
      <c r="M29" s="8" t="s">
        <v>705</v>
      </c>
      <c r="N29" s="7">
        <v>37099.4</v>
      </c>
    </row>
    <row r="30" spans="13:14" x14ac:dyDescent="0.35">
      <c r="M30" s="6" t="s">
        <v>686</v>
      </c>
      <c r="N30" s="7">
        <v>801546.00000000012</v>
      </c>
    </row>
  </sheetData>
  <pageMargins left="0.7" right="0.7" top="0.75" bottom="0.75" header="0.3" footer="0.3"/>
  <pageSetup orientation="portrait" r:id="rId6"/>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A2AA9-F69C-4430-A258-A4D77F223783}">
  <dimension ref="A1:L5"/>
  <sheetViews>
    <sheetView topLeftCell="A10" workbookViewId="0">
      <selection activeCell="A24" sqref="A24"/>
    </sheetView>
  </sheetViews>
  <sheetFormatPr defaultRowHeight="14.5" x14ac:dyDescent="0.35"/>
  <sheetData>
    <row r="1" spans="1:12" ht="31" x14ac:dyDescent="0.7">
      <c r="A1" s="11" t="s">
        <v>708</v>
      </c>
      <c r="B1" s="11"/>
      <c r="C1" s="11"/>
      <c r="D1" s="11"/>
      <c r="E1" s="11"/>
      <c r="F1" s="11"/>
      <c r="G1" s="11"/>
      <c r="H1" s="11"/>
      <c r="I1" s="11"/>
      <c r="J1" s="11"/>
      <c r="K1" s="11"/>
      <c r="L1" s="11"/>
    </row>
    <row r="2" spans="1:12" ht="18.5" x14ac:dyDescent="0.45">
      <c r="A2" s="10" t="s">
        <v>709</v>
      </c>
      <c r="B2" s="10"/>
      <c r="C2" s="10"/>
      <c r="D2" s="10"/>
      <c r="E2" s="10"/>
      <c r="F2" s="10"/>
      <c r="G2" s="10"/>
      <c r="H2" s="10"/>
      <c r="I2" s="10"/>
      <c r="J2" s="10"/>
      <c r="K2" s="10"/>
      <c r="L2" s="10"/>
    </row>
    <row r="4" spans="1:12" x14ac:dyDescent="0.35">
      <c r="A4" s="9" t="s">
        <v>710</v>
      </c>
      <c r="B4" s="9"/>
      <c r="D4" s="9" t="s">
        <v>711</v>
      </c>
      <c r="E4" s="9"/>
      <c r="G4" s="9" t="s">
        <v>712</v>
      </c>
      <c r="H4" s="9"/>
      <c r="J4" s="9" t="s">
        <v>713</v>
      </c>
      <c r="K4" s="9"/>
    </row>
    <row r="5" spans="1:12" x14ac:dyDescent="0.35">
      <c r="A5" s="12">
        <f>SUM(SuperstoreTable[Sales])</f>
        <v>801546.00000000012</v>
      </c>
      <c r="B5" s="12"/>
      <c r="D5" s="12">
        <f>SUM(SuperstoreTable[Profit])</f>
        <v>141999.20999999993</v>
      </c>
      <c r="E5" s="12"/>
      <c r="G5" s="13">
        <f>SUM(SuperstoreTable[Profit])/SUM(SuperstoreTable[Sales])</f>
        <v>0.17715665725984525</v>
      </c>
      <c r="H5" s="13"/>
      <c r="J5" s="9">
        <f>COUNTA(SuperstoreTable[Order ID])</f>
        <v>480</v>
      </c>
      <c r="K5" s="9"/>
    </row>
  </sheetData>
  <mergeCells count="10">
    <mergeCell ref="A1:L1"/>
    <mergeCell ref="A2:L2"/>
    <mergeCell ref="A4:B4"/>
    <mergeCell ref="A5:B5"/>
    <mergeCell ref="D4:E4"/>
    <mergeCell ref="D5:E5"/>
    <mergeCell ref="G4:H4"/>
    <mergeCell ref="G5:H5"/>
    <mergeCell ref="J4:K4"/>
    <mergeCell ref="J5:K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Formula_Practice</vt:lpstr>
      <vt:lpstr>Pivot_Analysis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Rushabh</dc:creator>
  <cp:lastModifiedBy>Rushabhkumar Jaysukhbhai Savaj</cp:lastModifiedBy>
  <dcterms:created xsi:type="dcterms:W3CDTF">2026-09-06T13:28:38Z</dcterms:created>
  <dcterms:modified xsi:type="dcterms:W3CDTF">2026-09-06T14:50:03Z</dcterms:modified>
</cp:coreProperties>
</file>