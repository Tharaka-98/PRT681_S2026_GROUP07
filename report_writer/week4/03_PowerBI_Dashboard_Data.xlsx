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7bf3ce31c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Requests" sheetId="1" r:id="R735f5ca1ce6f4af5"/>
    <x:sheet xmlns:r="http://schemas.openxmlformats.org/officeDocument/2006/relationships" name="Dashboard_Checks" sheetId="2" r:id="R9959376faafd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75A7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7f0e85cb44bf2" /><Relationship Type="http://schemas.openxmlformats.org/officeDocument/2006/relationships/theme" Target="/xl/theme/theme1.xml" Id="Ra0ac0903623646fa" /><Relationship Type="http://schemas.openxmlformats.org/officeDocument/2006/relationships/sharedStrings" Target="/xl/sharedStrings.xml" Id="Radbc7b59b96a4d96" /><Relationship Type="http://schemas.openxmlformats.org/officeDocument/2006/relationships/worksheet" Target="/xl/worksheets/sheet1.xml" Id="R735f5ca1ce6f4af5" /><Relationship Type="http://schemas.openxmlformats.org/officeDocument/2006/relationships/worksheet" Target="/xl/worksheets/sheet2.xml" Id="R9959376faafd44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9.130000114440918" hidden="0" customWidth="1"/>
    <x:col min="3" max="3" width="20" hidden="0" customWidth="1"/>
    <x:col min="4" max="4" width="5.75" hidden="0" customWidth="1"/>
    <x:col min="5" max="5" width="8.75" hidden="0" customWidth="1"/>
    <x:col min="6" max="6" width="13.630000114440918" hidden="0" customWidth="1"/>
  </x:cols>
  <x:sheetData>
    <x:row r="1">
      <x:c r="A1" s="6" t="str">
        <x:v>RequestID</x:v>
      </x:c>
      <x:c r="B1" s="6" t="str">
        <x:v>Date</x:v>
      </x:c>
      <x:c r="C1" s="6" t="str">
        <x:v>RequestType</x:v>
      </x:c>
      <x:c r="D1" s="6" t="str">
        <x:v>Region</x:v>
      </x:c>
      <x:c r="E1" s="6" t="str">
        <x:v>Status</x:v>
      </x:c>
      <x:c r="F1" s="6" t="str">
        <x:v>HandlingMinutes</x:v>
      </x:c>
    </x:row>
    <x:row r="2">
      <x:c r="A2" t="n">
        <x:v>3001</x:v>
      </x:c>
      <x:c r="B2" t="str">
        <x:v>2026-08-10</x:v>
      </x:c>
      <x:c r="C2" t="str">
        <x:v>Password Reset</x:v>
      </x:c>
      <x:c r="D2" t="str">
        <x:v>North</x:v>
      </x:c>
      <x:c r="E2" t="str">
        <x:v>Closed</x:v>
      </x:c>
      <x:c r="F2" t="n">
        <x:v>5</x:v>
      </x:c>
    </x:row>
    <x:row r="3">
      <x:c r="A3" t="n">
        <x:v>3002</x:v>
      </x:c>
      <x:c r="B3" t="str">
        <x:v>2026-08-10</x:v>
      </x:c>
      <x:c r="C3" t="str">
        <x:v>Software</x:v>
      </x:c>
      <x:c r="D3" t="str">
        <x:v>North</x:v>
      </x:c>
      <x:c r="E3" t="str">
        <x:v>Closed</x:v>
      </x:c>
      <x:c r="F3" t="n">
        <x:v>25</x:v>
      </x:c>
    </x:row>
    <x:row r="4">
      <x:c r="A4" t="n">
        <x:v>3003</x:v>
      </x:c>
      <x:c r="B4" t="str">
        <x:v>2026-08-11</x:v>
      </x:c>
      <x:c r="C4" t="str">
        <x:v>Network</x:v>
      </x:c>
      <x:c r="D4" t="str">
        <x:v>South</x:v>
      </x:c>
      <x:c r="E4" t="str">
        <x:v>Open</x:v>
      </x:c>
      <x:c r="F4"/>
    </x:row>
    <x:row r="5">
      <x:c r="A5" t="n">
        <x:v>3004</x:v>
      </x:c>
      <x:c r="B5" t="str">
        <x:v>2026-08-11</x:v>
      </x:c>
      <x:c r="C5" t="str">
        <x:v>Hardware</x:v>
      </x:c>
      <x:c r="D5" t="str">
        <x:v>South</x:v>
      </x:c>
      <x:c r="E5" t="str">
        <x:v>Closed</x:v>
      </x:c>
      <x:c r="F5" t="n">
        <x:v>70</x:v>
      </x:c>
    </x:row>
    <x:row r="6">
      <x:c r="A6" t="n">
        <x:v>3005</x:v>
      </x:c>
      <x:c r="B6" t="str">
        <x:v>2026-08-12</x:v>
      </x:c>
      <x:c r="C6" t="str">
        <x:v>Access</x:v>
      </x:c>
      <x:c r="D6" t="str">
        <x:v>East</x:v>
      </x:c>
      <x:c r="E6" t="str">
        <x:v>Closed</x:v>
      </x:c>
      <x:c r="F6" t="n">
        <x:v>18</x:v>
      </x:c>
    </x:row>
    <x:row r="7">
      <x:c r="A7" t="n">
        <x:v>3006</x:v>
      </x:c>
      <x:c r="B7" t="str">
        <x:v>2026-08-12</x:v>
      </x:c>
      <x:c r="C7" t="str">
        <x:v>Software</x:v>
      </x:c>
      <x:c r="D7" t="str">
        <x:v>East</x:v>
      </x:c>
      <x:c r="E7" t="str">
        <x:v>In Progress</x:v>
      </x:c>
      <x:c r="F7"/>
    </x:row>
    <x:row r="8">
      <x:c r="A8" t="n">
        <x:v>3007</x:v>
      </x:c>
      <x:c r="B8" t="str">
        <x:v>2026-08-13</x:v>
      </x:c>
      <x:c r="C8" t="str">
        <x:v>Network</x:v>
      </x:c>
      <x:c r="D8" t="str">
        <x:v>West</x:v>
      </x:c>
      <x:c r="E8" t="str">
        <x:v>Closed</x:v>
      </x:c>
      <x:c r="F8" t="n">
        <x:v>35</x:v>
      </x:c>
    </x:row>
    <x:row r="9">
      <x:c r="A9" t="n">
        <x:v>3008</x:v>
      </x:c>
      <x:c r="B9" t="str">
        <x:v>2026-08-13</x:v>
      </x:c>
      <x:c r="C9" t="str">
        <x:v>Password Reset</x:v>
      </x:c>
      <x:c r="D9" t="str">
        <x:v>West</x:v>
      </x:c>
      <x:c r="E9" t="str">
        <x:v>Closed</x:v>
      </x:c>
      <x:c r="F9" t="n">
        <x:v>3</x:v>
      </x:c>
    </x:row>
    <x:row r="10">
      <x:c r="A10" t="n">
        <x:v>3009</x:v>
      </x:c>
      <x:c r="B10" t="str">
        <x:v>2026-08-14</x:v>
      </x:c>
      <x:c r="C10" t="str">
        <x:v>Access</x:v>
      </x:c>
      <x:c r="D10" t="str">
        <x:v>North</x:v>
      </x:c>
      <x:c r="E10" t="str">
        <x:v>Open</x:v>
      </x:c>
      <x:c r="F10"/>
    </x:row>
    <x:row r="11">
      <x:c r="A11" t="n">
        <x:v>3010</x:v>
      </x:c>
      <x:c r="B11" t="str">
        <x:v>2026-08-14</x:v>
      </x:c>
      <x:c r="C11" t="str">
        <x:v>Hardware</x:v>
      </x:c>
      <x:c r="D11" t="str">
        <x:v>East</x:v>
      </x:c>
      <x:c r="E11" t="str">
        <x:v>Closed</x:v>
      </x:c>
      <x:c r="F11" t="n">
        <x:v>55</x:v>
      </x:c>
    </x:row>
    <x:row r="12">
      <x:c r="A12" t="n">
        <x:v>3011</x:v>
      </x:c>
      <x:c r="B12" t="str">
        <x:v>2026-08-15</x:v>
      </x:c>
      <x:c r="C12" t="str">
        <x:v>Software</x:v>
      </x:c>
      <x:c r="D12" t="str">
        <x:v>South</x:v>
      </x:c>
      <x:c r="E12" t="str">
        <x:v>Closed</x:v>
      </x:c>
      <x:c r="F12" t="n">
        <x:v>42</x:v>
      </x:c>
    </x:row>
    <x:row r="13">
      <x:c r="A13" t="n">
        <x:v>3012</x:v>
      </x:c>
      <x:c r="B13" t="str">
        <x:v>2026-08-15</x:v>
      </x:c>
      <x:c r="C13" t="str">
        <x:v>Network</x:v>
      </x:c>
      <x:c r="D13" t="str">
        <x:v>North</x:v>
      </x:c>
      <x:c r="E13" t="str">
        <x:v>Closed</x:v>
      </x:c>
      <x:c r="F13" t="n">
        <x:v>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5.130000114440918" hidden="0" customWidth="1"/>
    <x:col min="4" max="4" width="5.75" hidden="0" customWidth="1"/>
    <x:col min="5" max="5" width="9.25" hidden="0" customWidth="1"/>
  </x:cols>
  <x:sheetData>
    <x:row r="1">
      <x:c r="A1" s="6" t="str">
        <x:v>KPI Validation</x:v>
      </x:c>
      <x:c r="B1" s="6" t="str">
        <x:v>Value</x:v>
      </x:c>
      <x:c r="D1" s="6" t="str">
        <x:v>Region</x:v>
      </x:c>
      <x:c r="E1" s="6" t="str">
        <x:v>Open Work</x:v>
      </x:c>
    </x:row>
    <x:row r="2">
      <x:c r="A2" t="str">
        <x:v>Total Requests</x:v>
      </x:c>
      <x:c r="B2" t="n">
        <x:f>COUNTA(Service_Requests!A2:A13)</x:f>
        <x:v>12</x:v>
      </x:c>
      <x:c r="D2" t="str">
        <x:v>North</x:v>
      </x:c>
      <x:c r="E2" t="n">
        <x:f>COUNTIFS(Service_Requests!D2:D13,D2,Service_Requests!E2:E13,"&lt;&gt;Closed")</x:f>
        <x:v>1</x:v>
      </x:c>
    </x:row>
    <x:row r="3">
      <x:c r="A3" t="str">
        <x:v>Closed Requests</x:v>
      </x:c>
      <x:c r="B3" t="n">
        <x:f>COUNTIF(Service_Requests!E2:E13,"Closed")</x:f>
        <x:v>9</x:v>
      </x:c>
      <x:c r="D3" t="str">
        <x:v>South</x:v>
      </x:c>
      <x:c r="E3" t="n">
        <x:f>COUNTIFS(Service_Requests!D2:D13,D3,Service_Requests!E2:E13,"&lt;&gt;Closed")</x:f>
        <x:v>1</x:v>
      </x:c>
    </x:row>
    <x:row r="4">
      <x:c r="A4" t="str">
        <x:v>Open / In Progress</x:v>
      </x:c>
      <x:c r="B4" t="n">
        <x:f>B2-B3</x:f>
        <x:v>3</x:v>
      </x:c>
      <x:c r="D4" t="str">
        <x:v>East</x:v>
      </x:c>
      <x:c r="E4" t="n">
        <x:f>COUNTIFS(Service_Requests!D2:D13,D4,Service_Requests!E2:E13,"&lt;&gt;Closed")</x:f>
        <x:v>1</x:v>
      </x:c>
    </x:row>
    <x:row r="5">
      <x:c r="A5" t="str">
        <x:v>Closure Rate</x:v>
      </x:c>
      <x:c r="B5" s="12" t="n">
        <x:f>IFERROR(B3/B2,0)</x:f>
        <x:v>0.75</x:v>
      </x:c>
      <x:c r="D5" t="str">
        <x:v>West</x:v>
      </x:c>
      <x:c r="E5" t="n">
        <x:f>COUNTIFS(Service_Requests!D2:D13,D5,Service_Requests!E2:E13,"&lt;&gt;Closed")</x:f>
        <x:v>0</x:v>
      </x:c>
    </x:row>
    <x:row r="6">
      <x:c r="A6" t="str">
        <x:v>Average Handling Minutes</x:v>
      </x:c>
      <x:c r="B6" s="14" t="n">
        <x:f>AVERAGEIF(Service_Requests!E2:E13,"Closed",Service_Requests!F2:F13)</x:f>
        <x:v>31.22222222222222</x:v>
      </x:c>
    </x:row>
    <x:row r="7">
      <x:c r="A7" t="str">
        <x:v>Requests &gt; 60 min</x:v>
      </x:c>
      <x:c r="B7" t="n">
        <x:f>COUNTIF(Service_Requests!F2:F13,"&gt;60")</x:f>
        <x:v>1</x:v>
      </x:c>
    </x:row>
  </x:sheetData>
  <x:pageMargins left="0.7" right="0.7" top="0.75" bottom="0.75" header="0.3" footer="0.3"/>
</x:worksheet>
</file>