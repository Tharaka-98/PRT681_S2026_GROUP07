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1e6f6acbe41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cket_Practice" sheetId="1" r:id="R8f708360119b43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75A7F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07d1d493f4244" /><Relationship Type="http://schemas.openxmlformats.org/officeDocument/2006/relationships/theme" Target="/xl/theme/theme1.xml" Id="R3cd07896cb594926" /><Relationship Type="http://schemas.openxmlformats.org/officeDocument/2006/relationships/sharedStrings" Target="/xl/sharedStrings.xml" Id="Rdcebe4ecc0194e0f" /><Relationship Type="http://schemas.openxmlformats.org/officeDocument/2006/relationships/worksheet" Target="/xl/worksheets/sheet1.xml" Id="R8f708360119b43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19" hidden="0" customWidth="1"/>
    <x:col min="3" max="3" width="12" hidden="0" customWidth="1"/>
    <x:col min="4" max="4" width="14" hidden="0" customWidth="1"/>
    <x:col min="5" max="5" width="14" hidden="0" customWidth="1"/>
    <x:col min="6" max="6" width="18" hidden="0" customWidth="1"/>
    <x:col min="7" max="7" width="14" hidden="0" customWidth="1"/>
  </x:cols>
  <x:sheetData>
    <x:row r="1">
      <x:c r="A1" s="6" t="str">
        <x:v>Ticket ID</x:v>
      </x:c>
      <x:c r="B1" s="6" t="str">
        <x:v>Category</x:v>
      </x:c>
      <x:c r="C1" s="6" t="str">
        <x:v>Priority</x:v>
      </x:c>
      <x:c r="D1" s="6" t="str">
        <x:v>Status</x:v>
      </x:c>
      <x:c r="E1" s="6" t="str">
        <x:v>Opened Date</x:v>
      </x:c>
      <x:c r="F1" s="6" t="str">
        <x:v>Resolution Hours</x:v>
      </x:c>
      <x:c r="G1" s="6" t="str">
        <x:v>Within 24h?</x:v>
      </x:c>
    </x:row>
    <x:row r="2">
      <x:c r="A2" t="n">
        <x:v>1001</x:v>
      </x:c>
      <x:c r="B2" t="str">
        <x:v>Password Reset</x:v>
      </x:c>
      <x:c r="C2" t="str">
        <x:v>Low</x:v>
      </x:c>
      <x:c r="D2" t="str">
        <x:v>Closed</x:v>
      </x:c>
      <x:c r="E2" t="str">
        <x:v>2026-08-03</x:v>
      </x:c>
      <x:c r="F2" t="n">
        <x:v>1.5</x:v>
      </x:c>
      <x:c r="G2" t="str">
        <x:f>IF(D2&lt;&gt;"Closed","N/A",IF(F2&lt;=24,"Yes","No"))</x:f>
        <x:v>Yes</x:v>
      </x:c>
    </x:row>
    <x:row r="3">
      <x:c r="A3" t="n">
        <x:v>1002</x:v>
      </x:c>
      <x:c r="B3" t="str">
        <x:v>Software</x:v>
      </x:c>
      <x:c r="C3" t="str">
        <x:v>Medium</x:v>
      </x:c>
      <x:c r="D3" t="str">
        <x:v>Closed</x:v>
      </x:c>
      <x:c r="E3" t="str">
        <x:v>2026-08-03</x:v>
      </x:c>
      <x:c r="F3" t="n">
        <x:v>6</x:v>
      </x:c>
      <x:c r="G3" t="str">
        <x:f>IF(D3&lt;&gt;"Closed","N/A",IF(F3&lt;=24,"Yes","No"))</x:f>
        <x:v>Yes</x:v>
      </x:c>
    </x:row>
    <x:row r="4">
      <x:c r="A4" t="n">
        <x:v>1003</x:v>
      </x:c>
      <x:c r="B4" t="str">
        <x:v>Network</x:v>
      </x:c>
      <x:c r="C4" t="str">
        <x:v>High</x:v>
      </x:c>
      <x:c r="D4" t="str">
        <x:v>Closed</x:v>
      </x:c>
      <x:c r="E4" t="str">
        <x:v>2026-08-04</x:v>
      </x:c>
      <x:c r="F4" t="n">
        <x:v>18</x:v>
      </x:c>
      <x:c r="G4" t="str">
        <x:f>IF(D4&lt;&gt;"Closed","N/A",IF(F4&lt;=24,"Yes","No"))</x:f>
        <x:v>Yes</x:v>
      </x:c>
    </x:row>
    <x:row r="5">
      <x:c r="A5" t="n">
        <x:v>1004</x:v>
      </x:c>
      <x:c r="B5" t="str">
        <x:v>Hardware</x:v>
      </x:c>
      <x:c r="C5" t="str">
        <x:v>High</x:v>
      </x:c>
      <x:c r="D5" t="str">
        <x:v>Open</x:v>
      </x:c>
      <x:c r="E5" t="str">
        <x:v>2026-08-04</x:v>
      </x:c>
      <x:c r="F5"/>
      <x:c r="G5" t="str">
        <x:f>IF(D5&lt;&gt;"Closed","N/A",IF(F5&lt;=24,"Yes","No"))</x:f>
        <x:v>N/A</x:v>
      </x:c>
    </x:row>
    <x:row r="6">
      <x:c r="A6" t="n">
        <x:v>1005</x:v>
      </x:c>
      <x:c r="B6" t="str">
        <x:v>Access</x:v>
      </x:c>
      <x:c r="C6" t="str">
        <x:v>Medium</x:v>
      </x:c>
      <x:c r="D6" t="str">
        <x:v>Closed</x:v>
      </x:c>
      <x:c r="E6" t="str">
        <x:v>2026-08-05</x:v>
      </x:c>
      <x:c r="F6" t="n">
        <x:v>4.5</x:v>
      </x:c>
      <x:c r="G6" t="str">
        <x:f>IF(D6&lt;&gt;"Closed","N/A",IF(F6&lt;=24,"Yes","No"))</x:f>
        <x:v>Yes</x:v>
      </x:c>
    </x:row>
    <x:row r="7">
      <x:c r="A7" t="n">
        <x:v>1006</x:v>
      </x:c>
      <x:c r="B7" t="str">
        <x:v>Software</x:v>
      </x:c>
      <x:c r="C7" t="str">
        <x:v>Low</x:v>
      </x:c>
      <x:c r="D7" t="str">
        <x:v>Closed</x:v>
      </x:c>
      <x:c r="E7" t="str">
        <x:v>2026-08-05</x:v>
      </x:c>
      <x:c r="F7" t="n">
        <x:v>28</x:v>
      </x:c>
      <x:c r="G7" t="str">
        <x:f>IF(D7&lt;&gt;"Closed","N/A",IF(F7&lt;=24,"Yes","No"))</x:f>
        <x:v>No</x:v>
      </x:c>
    </x:row>
    <x:row r="8">
      <x:c r="A8" t="n">
        <x:v>1007</x:v>
      </x:c>
      <x:c r="B8" t="str">
        <x:v>Network</x:v>
      </x:c>
      <x:c r="C8" t="str">
        <x:v>High</x:v>
      </x:c>
      <x:c r="D8" t="str">
        <x:v>In Progress</x:v>
      </x:c>
      <x:c r="E8" t="str">
        <x:v>2026-08-06</x:v>
      </x:c>
      <x:c r="F8"/>
      <x:c r="G8" t="str">
        <x:f>IF(D8&lt;&gt;"Closed","N/A",IF(F8&lt;=24,"Yes","No"))</x:f>
        <x:v>N/A</x:v>
      </x:c>
    </x:row>
    <x:row r="9">
      <x:c r="A9" t="n">
        <x:v>1008</x:v>
      </x:c>
      <x:c r="B9" t="str">
        <x:v>Password Reset</x:v>
      </x:c>
      <x:c r="C9" t="str">
        <x:v>Low</x:v>
      </x:c>
      <x:c r="D9" t="str">
        <x:v>Closed</x:v>
      </x:c>
      <x:c r="E9" t="str">
        <x:v>2026-08-06</x:v>
      </x:c>
      <x:c r="F9" t="n">
        <x:v>0.8</x:v>
      </x:c>
      <x:c r="G9" t="str">
        <x:f>IF(D9&lt;&gt;"Closed","N/A",IF(F9&lt;=24,"Yes","No"))</x:f>
        <x:v>Yes</x:v>
      </x:c>
    </x:row>
    <x:row r="10">
      <x:c r="A10" t="n">
        <x:v>1009</x:v>
      </x:c>
      <x:c r="B10" t="str">
        <x:v>Hardware</x:v>
      </x:c>
      <x:c r="C10" t="str">
        <x:v>Medium</x:v>
      </x:c>
      <x:c r="D10" t="str">
        <x:v>Closed</x:v>
      </x:c>
      <x:c r="E10" t="str">
        <x:v>2026-08-07</x:v>
      </x:c>
      <x:c r="F10" t="n">
        <x:v>22</x:v>
      </x:c>
      <x:c r="G10" t="str">
        <x:f>IF(D10&lt;&gt;"Closed","N/A",IF(F10&lt;=24,"Yes","No"))</x:f>
        <x:v>Yes</x:v>
      </x:c>
    </x:row>
    <x:row r="11">
      <x:c r="A11" t="n">
        <x:v>1010</x:v>
      </x:c>
      <x:c r="B11" t="str">
        <x:v>Access</x:v>
      </x:c>
      <x:c r="C11" t="str">
        <x:v>High</x:v>
      </x:c>
      <x:c r="D11" t="str">
        <x:v>Closed</x:v>
      </x:c>
      <x:c r="E11" t="str">
        <x:v>2026-08-07</x:v>
      </x:c>
      <x:c r="F11" t="n">
        <x:v>10.5</x:v>
      </x:c>
      <x:c r="G11" t="str">
        <x:f>IF(D11&lt;&gt;"Closed","N/A",IF(F11&lt;=24,"Yes","No"))</x:f>
        <x:v>Yes</x:v>
      </x:c>
    </x:row>
    <x:row r="13">
      <x:c r="A13" s="6" t="str">
        <x:v>Quick Metric</x:v>
      </x:c>
      <x:c r="B13" s="6" t="str">
        <x:v>Value</x:v>
      </x:c>
    </x:row>
    <x:row r="14">
      <x:c r="A14" t="str">
        <x:v>Total Tickets</x:v>
      </x:c>
      <x:c r="B14" t="n">
        <x:f>COUNTA(A2:A11)</x:f>
        <x:v>10</x:v>
      </x:c>
    </x:row>
    <x:row r="15">
      <x:c r="A15" t="str">
        <x:v>Closed Tickets</x:v>
      </x:c>
      <x:c r="B15" t="n">
        <x:f>COUNTIF(D2:D11,"Closed")</x:f>
        <x:v>8</x:v>
      </x:c>
    </x:row>
    <x:row r="16">
      <x:c r="A16" t="str">
        <x:v>Average Resolution Hours</x:v>
      </x:c>
      <x:c r="B16" s="12" t="n">
        <x:f>AVERAGEIF(D2:D11,"Closed",F2:F11)</x:f>
        <x:v>11.4125</x:v>
      </x:c>
    </x:row>
    <x:row r="17">
      <x:c r="A17" t="str">
        <x:v>Closed within 24h</x:v>
      </x:c>
      <x:c r="B17" t="n">
        <x:f>COUNTIF(G2:G11,"Yes")</x:f>
        <x:v>7</x:v>
      </x:c>
    </x:row>
  </x:sheetData>
  <x:pageMargins left="0.7" right="0.7" top="0.75" bottom="0.75" header="0.3" footer="0.3"/>
</x:worksheet>
</file>